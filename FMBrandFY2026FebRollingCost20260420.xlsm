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VBACostCenterSplit\costcentersplit\"/>
    </mc:Choice>
  </mc:AlternateContent>
  <xr:revisionPtr revIDLastSave="0" documentId="13_ncr:1_{74280419-F478-4C0C-B90E-1B2C9B7878EB}" xr6:coauthVersionLast="47" xr6:coauthVersionMax="47" xr10:uidLastSave="{00000000-0000-0000-0000-000000000000}"/>
  <bookViews>
    <workbookView xWindow="-110" yWindow="-110" windowWidth="25820" windowHeight="15620" xr2:uid="{D525BBAD-DFFD-43A3-BB40-A07C19856506}"/>
  </bookViews>
  <sheets>
    <sheet name="LE（系统导出）" sheetId="1" r:id="rId1"/>
    <sheet name="CostCenterGroupBySumResult" sheetId="27" r:id="rId2"/>
    <sheet name="LE（手动调整）" sheetId="2" r:id="rId3"/>
  </sheets>
  <definedNames>
    <definedName name="_xleta.COS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C27" i="27" l="1"/>
  <c r="DB27" i="27"/>
  <c r="DA27" i="27"/>
  <c r="CZ27" i="27"/>
  <c r="CY27" i="27"/>
  <c r="CX27" i="27"/>
  <c r="CW27" i="27"/>
  <c r="CV27" i="27"/>
  <c r="CU27" i="27"/>
  <c r="CT27" i="27"/>
  <c r="CS27" i="27"/>
  <c r="CR27" i="27"/>
  <c r="CQ27" i="27"/>
  <c r="CP27" i="27"/>
  <c r="CO27" i="27"/>
  <c r="CN27" i="27"/>
  <c r="CM27" i="27"/>
  <c r="CL27" i="27"/>
  <c r="CK27" i="27"/>
  <c r="CJ27" i="27"/>
  <c r="CI27" i="27"/>
  <c r="CH27" i="27"/>
  <c r="CG27" i="27"/>
  <c r="CF27" i="27"/>
  <c r="CE27" i="27"/>
  <c r="CD27" i="27"/>
  <c r="CC27" i="27"/>
  <c r="CB27" i="27"/>
  <c r="CA27" i="27"/>
  <c r="BZ27" i="27"/>
  <c r="BY27" i="27"/>
  <c r="BX27" i="27"/>
  <c r="BW27" i="27"/>
  <c r="BV27" i="27"/>
  <c r="BU27" i="27"/>
  <c r="BT27" i="27"/>
  <c r="BS27" i="27"/>
  <c r="BR27" i="27"/>
  <c r="BQ27" i="27"/>
  <c r="BP27" i="27"/>
  <c r="BO27" i="27"/>
  <c r="BN27" i="27"/>
  <c r="BM27" i="27"/>
  <c r="BL27" i="27"/>
  <c r="BK27" i="27"/>
  <c r="BJ27" i="27"/>
  <c r="BI27" i="27"/>
  <c r="BH27" i="27"/>
  <c r="BG27" i="27"/>
  <c r="BF27" i="27"/>
  <c r="BE27" i="27"/>
  <c r="BD27" i="27"/>
  <c r="BC27" i="27"/>
  <c r="BB27" i="27"/>
  <c r="BA27" i="27"/>
  <c r="AZ27" i="27"/>
  <c r="AY27" i="27"/>
  <c r="AX27" i="27"/>
  <c r="AW27" i="27"/>
  <c r="AV27" i="27"/>
  <c r="AU27" i="27"/>
  <c r="AT27" i="27"/>
  <c r="AS27" i="27"/>
  <c r="AR27" i="27"/>
  <c r="AQ27" i="27"/>
  <c r="AP27" i="27"/>
  <c r="AO27" i="27"/>
  <c r="AN27" i="27"/>
  <c r="AM27" i="27"/>
  <c r="AL27" i="27"/>
  <c r="AK27" i="27"/>
  <c r="AJ27" i="27"/>
  <c r="AI27" i="27"/>
  <c r="AH27" i="27"/>
  <c r="AG27" i="27"/>
  <c r="AF27" i="27"/>
  <c r="AE27" i="27"/>
  <c r="AD27" i="27"/>
  <c r="AC27" i="27"/>
  <c r="AB27" i="27"/>
  <c r="AA27" i="27"/>
  <c r="Z27" i="27"/>
  <c r="Y27" i="27"/>
  <c r="X27" i="27"/>
  <c r="W27" i="27"/>
  <c r="V27" i="27"/>
  <c r="U27" i="27"/>
  <c r="T27" i="27"/>
  <c r="S27" i="27"/>
  <c r="CK22" i="1"/>
  <c r="CJ22" i="1"/>
  <c r="CF22" i="1"/>
  <c r="CE22" i="1"/>
  <c r="CA22" i="1"/>
  <c r="BZ22" i="1"/>
  <c r="BV22" i="1"/>
  <c r="BU22" i="1"/>
  <c r="BQ22" i="1"/>
  <c r="BP22" i="1"/>
  <c r="BL22" i="1"/>
  <c r="BK22" i="1"/>
  <c r="BE22" i="1"/>
  <c r="BD22" i="1"/>
  <c r="AX22" i="1"/>
  <c r="AW22" i="1"/>
  <c r="AQ22" i="1"/>
  <c r="AP22" i="1"/>
  <c r="AJ22" i="1"/>
  <c r="AI22" i="1"/>
  <c r="AC22" i="1"/>
  <c r="AB22" i="1"/>
  <c r="V22" i="1"/>
  <c r="CQ22" i="1" s="1"/>
  <c r="U22" i="1"/>
  <c r="CP22" i="1" s="1"/>
  <c r="CK25" i="1"/>
  <c r="CJ25" i="1"/>
  <c r="CF25" i="1"/>
  <c r="CE25" i="1"/>
  <c r="CA25" i="1"/>
  <c r="BZ25" i="1"/>
  <c r="BV25" i="1"/>
  <c r="BU25" i="1"/>
  <c r="BQ25" i="1"/>
  <c r="BP25" i="1"/>
  <c r="BL25" i="1"/>
  <c r="BK25" i="1"/>
  <c r="BE25" i="1"/>
  <c r="BD25" i="1"/>
  <c r="AX25" i="1"/>
  <c r="AW25" i="1"/>
  <c r="AQ25" i="1"/>
  <c r="AP25" i="1"/>
  <c r="AJ25" i="1"/>
  <c r="AI25" i="1"/>
  <c r="AC25" i="1"/>
  <c r="AB25" i="1"/>
  <c r="V25" i="1"/>
  <c r="U25" i="1"/>
  <c r="CP25" i="1" s="1"/>
  <c r="CK27" i="1"/>
  <c r="CJ27" i="1"/>
  <c r="CF27" i="1"/>
  <c r="CE27" i="1"/>
  <c r="CA27" i="1"/>
  <c r="BZ27" i="1"/>
  <c r="BV27" i="1"/>
  <c r="BU27" i="1"/>
  <c r="BQ27" i="1"/>
  <c r="BP27" i="1"/>
  <c r="BL27" i="1"/>
  <c r="BK27" i="1"/>
  <c r="BE27" i="1"/>
  <c r="BD27" i="1"/>
  <c r="AX27" i="1"/>
  <c r="AW27" i="1"/>
  <c r="AQ27" i="1"/>
  <c r="AP27" i="1"/>
  <c r="AJ27" i="1"/>
  <c r="AI27" i="1"/>
  <c r="AC27" i="1"/>
  <c r="AB27" i="1"/>
  <c r="V27" i="1"/>
  <c r="U27" i="1"/>
  <c r="CP27" i="1" s="1"/>
  <c r="T24" i="2"/>
  <c r="U24" i="2"/>
  <c r="AA24" i="2"/>
  <c r="AB24" i="2"/>
  <c r="AH24" i="2"/>
  <c r="AI24" i="2"/>
  <c r="AO24" i="2"/>
  <c r="AP24" i="2"/>
  <c r="AV24" i="2"/>
  <c r="AW24" i="2"/>
  <c r="BC24" i="2"/>
  <c r="BD24" i="2"/>
  <c r="BJ24" i="2"/>
  <c r="BK24" i="2"/>
  <c r="BO24" i="2"/>
  <c r="BP24" i="2"/>
  <c r="BT24" i="2"/>
  <c r="BU24" i="2"/>
  <c r="BY24" i="2"/>
  <c r="BZ24" i="2"/>
  <c r="CD24" i="2"/>
  <c r="CE24" i="2"/>
  <c r="CI24" i="2"/>
  <c r="CJ24" i="2"/>
  <c r="T23" i="2"/>
  <c r="U23" i="2"/>
  <c r="AA23" i="2"/>
  <c r="AB23" i="2"/>
  <c r="AH23" i="2"/>
  <c r="AI23" i="2"/>
  <c r="AO23" i="2"/>
  <c r="AP23" i="2"/>
  <c r="AV23" i="2"/>
  <c r="AW23" i="2"/>
  <c r="BC23" i="2"/>
  <c r="BD23" i="2"/>
  <c r="BJ23" i="2"/>
  <c r="BK23" i="2"/>
  <c r="BO23" i="2"/>
  <c r="BP23" i="2"/>
  <c r="BT23" i="2"/>
  <c r="BU23" i="2"/>
  <c r="BY23" i="2"/>
  <c r="BZ23" i="2"/>
  <c r="CD23" i="2"/>
  <c r="CE23" i="2"/>
  <c r="CI23" i="2"/>
  <c r="CJ23" i="2"/>
  <c r="CJ27" i="2"/>
  <c r="CI27" i="2"/>
  <c r="CE27" i="2"/>
  <c r="CD27" i="2"/>
  <c r="BZ27" i="2"/>
  <c r="BY27" i="2"/>
  <c r="BU27" i="2"/>
  <c r="BT27" i="2"/>
  <c r="BP27" i="2"/>
  <c r="BO27" i="2"/>
  <c r="BK27" i="2"/>
  <c r="BJ27" i="2"/>
  <c r="BD27" i="2"/>
  <c r="BC27" i="2"/>
  <c r="AW27" i="2"/>
  <c r="AV27" i="2"/>
  <c r="AP27" i="2"/>
  <c r="AO27" i="2"/>
  <c r="AI27" i="2"/>
  <c r="AH27" i="2"/>
  <c r="AB27" i="2"/>
  <c r="AA27" i="2"/>
  <c r="U27" i="2"/>
  <c r="T27" i="2"/>
  <c r="CJ20" i="2"/>
  <c r="CI20" i="2"/>
  <c r="CE20" i="2"/>
  <c r="CD20" i="2"/>
  <c r="BZ20" i="2"/>
  <c r="BY20" i="2"/>
  <c r="BU20" i="2"/>
  <c r="BT20" i="2"/>
  <c r="BP20" i="2"/>
  <c r="BO20" i="2"/>
  <c r="BK20" i="2"/>
  <c r="BJ20" i="2"/>
  <c r="BD20" i="2"/>
  <c r="BC20" i="2"/>
  <c r="AW20" i="2"/>
  <c r="AV20" i="2"/>
  <c r="AP20" i="2"/>
  <c r="AO20" i="2"/>
  <c r="AI20" i="2"/>
  <c r="AH20" i="2"/>
  <c r="AB20" i="2"/>
  <c r="AA20" i="2"/>
  <c r="U20" i="2"/>
  <c r="T20" i="2"/>
  <c r="CJ19" i="2"/>
  <c r="CI19" i="2"/>
  <c r="CE19" i="2"/>
  <c r="CD19" i="2"/>
  <c r="BZ19" i="2"/>
  <c r="BY19" i="2"/>
  <c r="BU19" i="2"/>
  <c r="BT19" i="2"/>
  <c r="BP19" i="2"/>
  <c r="BO19" i="2"/>
  <c r="BK19" i="2"/>
  <c r="BJ19" i="2"/>
  <c r="BD19" i="2"/>
  <c r="BC19" i="2"/>
  <c r="AW19" i="2"/>
  <c r="AV19" i="2"/>
  <c r="AP19" i="2"/>
  <c r="AO19" i="2"/>
  <c r="AI19" i="2"/>
  <c r="AH19" i="2"/>
  <c r="AB19" i="2"/>
  <c r="AA19" i="2"/>
  <c r="U19" i="2"/>
  <c r="T19" i="2"/>
  <c r="CJ18" i="2"/>
  <c r="CI18" i="2"/>
  <c r="CE18" i="2"/>
  <c r="CD18" i="2"/>
  <c r="BZ18" i="2"/>
  <c r="BY18" i="2"/>
  <c r="BU18" i="2"/>
  <c r="BT18" i="2"/>
  <c r="BP18" i="2"/>
  <c r="BO18" i="2"/>
  <c r="BK18" i="2"/>
  <c r="BJ18" i="2"/>
  <c r="BD18" i="2"/>
  <c r="BC18" i="2"/>
  <c r="AW18" i="2"/>
  <c r="AV18" i="2"/>
  <c r="AP18" i="2"/>
  <c r="AO18" i="2"/>
  <c r="AI18" i="2"/>
  <c r="AH18" i="2"/>
  <c r="AB18" i="2"/>
  <c r="AA18" i="2"/>
  <c r="U18" i="2"/>
  <c r="T18" i="2"/>
  <c r="CJ17" i="2"/>
  <c r="CI17" i="2"/>
  <c r="CE17" i="2"/>
  <c r="CD17" i="2"/>
  <c r="BZ17" i="2"/>
  <c r="BY17" i="2"/>
  <c r="BU17" i="2"/>
  <c r="BT17" i="2"/>
  <c r="BP17" i="2"/>
  <c r="BO17" i="2"/>
  <c r="BK17" i="2"/>
  <c r="BJ17" i="2"/>
  <c r="BD17" i="2"/>
  <c r="BC17" i="2"/>
  <c r="AW17" i="2"/>
  <c r="AV17" i="2"/>
  <c r="AP17" i="2"/>
  <c r="AO17" i="2"/>
  <c r="AI17" i="2"/>
  <c r="AH17" i="2"/>
  <c r="AB17" i="2"/>
  <c r="AA17" i="2"/>
  <c r="U17" i="2"/>
  <c r="T17" i="2"/>
  <c r="CJ16" i="2"/>
  <c r="CI16" i="2"/>
  <c r="CE16" i="2"/>
  <c r="CD16" i="2"/>
  <c r="BZ16" i="2"/>
  <c r="BY16" i="2"/>
  <c r="BU16" i="2"/>
  <c r="BT16" i="2"/>
  <c r="BP16" i="2"/>
  <c r="BO16" i="2"/>
  <c r="BK16" i="2"/>
  <c r="BJ16" i="2"/>
  <c r="BD16" i="2"/>
  <c r="BC16" i="2"/>
  <c r="AW16" i="2"/>
  <c r="AV16" i="2"/>
  <c r="AP16" i="2"/>
  <c r="AO16" i="2"/>
  <c r="AI16" i="2"/>
  <c r="AH16" i="2"/>
  <c r="AB16" i="2"/>
  <c r="AA16" i="2"/>
  <c r="U16" i="2"/>
  <c r="T16" i="2"/>
  <c r="CJ15" i="2"/>
  <c r="CI15" i="2"/>
  <c r="CE15" i="2"/>
  <c r="CD15" i="2"/>
  <c r="BZ15" i="2"/>
  <c r="BY15" i="2"/>
  <c r="BU15" i="2"/>
  <c r="BT15" i="2"/>
  <c r="BP15" i="2"/>
  <c r="BO15" i="2"/>
  <c r="BK15" i="2"/>
  <c r="BJ15" i="2"/>
  <c r="BD15" i="2"/>
  <c r="BC15" i="2"/>
  <c r="AW15" i="2"/>
  <c r="AV15" i="2"/>
  <c r="AP15" i="2"/>
  <c r="AO15" i="2"/>
  <c r="AI15" i="2"/>
  <c r="AH15" i="2"/>
  <c r="AB15" i="2"/>
  <c r="AA15" i="2"/>
  <c r="U15" i="2"/>
  <c r="T15" i="2"/>
  <c r="CJ14" i="2"/>
  <c r="CI14" i="2"/>
  <c r="CE14" i="2"/>
  <c r="CD14" i="2"/>
  <c r="BZ14" i="2"/>
  <c r="BY14" i="2"/>
  <c r="BU14" i="2"/>
  <c r="BT14" i="2"/>
  <c r="BP14" i="2"/>
  <c r="BO14" i="2"/>
  <c r="BK14" i="2"/>
  <c r="BJ14" i="2"/>
  <c r="BD14" i="2"/>
  <c r="BC14" i="2"/>
  <c r="AW14" i="2"/>
  <c r="AV14" i="2"/>
  <c r="AP14" i="2"/>
  <c r="AO14" i="2"/>
  <c r="AI14" i="2"/>
  <c r="AH14" i="2"/>
  <c r="AB14" i="2"/>
  <c r="AA14" i="2"/>
  <c r="U14" i="2"/>
  <c r="T14" i="2"/>
  <c r="CJ13" i="2"/>
  <c r="CI13" i="2"/>
  <c r="CE13" i="2"/>
  <c r="CD13" i="2"/>
  <c r="BZ13" i="2"/>
  <c r="BY13" i="2"/>
  <c r="BU13" i="2"/>
  <c r="BT13" i="2"/>
  <c r="BP13" i="2"/>
  <c r="BO13" i="2"/>
  <c r="BK13" i="2"/>
  <c r="BJ13" i="2"/>
  <c r="BD13" i="2"/>
  <c r="BC13" i="2"/>
  <c r="AW13" i="2"/>
  <c r="AV13" i="2"/>
  <c r="AP13" i="2"/>
  <c r="AO13" i="2"/>
  <c r="AI13" i="2"/>
  <c r="AH13" i="2"/>
  <c r="AB13" i="2"/>
  <c r="AA13" i="2"/>
  <c r="U13" i="2"/>
  <c r="T13" i="2"/>
  <c r="CJ12" i="2"/>
  <c r="CI12" i="2"/>
  <c r="CE12" i="2"/>
  <c r="CD12" i="2"/>
  <c r="BZ12" i="2"/>
  <c r="BY12" i="2"/>
  <c r="BU12" i="2"/>
  <c r="BT12" i="2"/>
  <c r="BP12" i="2"/>
  <c r="BO12" i="2"/>
  <c r="BK12" i="2"/>
  <c r="BJ12" i="2"/>
  <c r="BD12" i="2"/>
  <c r="BC12" i="2"/>
  <c r="AW12" i="2"/>
  <c r="AV12" i="2"/>
  <c r="AP12" i="2"/>
  <c r="AO12" i="2"/>
  <c r="AI12" i="2"/>
  <c r="AH12" i="2"/>
  <c r="AB12" i="2"/>
  <c r="AA12" i="2"/>
  <c r="U12" i="2"/>
  <c r="T12" i="2"/>
  <c r="CJ11" i="2"/>
  <c r="CI11" i="2"/>
  <c r="CE11" i="2"/>
  <c r="CD11" i="2"/>
  <c r="BZ11" i="2"/>
  <c r="BY11" i="2"/>
  <c r="BU11" i="2"/>
  <c r="BT11" i="2"/>
  <c r="BP11" i="2"/>
  <c r="BO11" i="2"/>
  <c r="BK11" i="2"/>
  <c r="BJ11" i="2"/>
  <c r="BD11" i="2"/>
  <c r="BC11" i="2"/>
  <c r="AW11" i="2"/>
  <c r="AV11" i="2"/>
  <c r="AP11" i="2"/>
  <c r="AO11" i="2"/>
  <c r="AI11" i="2"/>
  <c r="AH11" i="2"/>
  <c r="AB11" i="2"/>
  <c r="AA11" i="2"/>
  <c r="U11" i="2"/>
  <c r="T11" i="2"/>
  <c r="CJ10" i="2"/>
  <c r="CI10" i="2"/>
  <c r="CE10" i="2"/>
  <c r="CD10" i="2"/>
  <c r="BZ10" i="2"/>
  <c r="BY10" i="2"/>
  <c r="BU10" i="2"/>
  <c r="BT10" i="2"/>
  <c r="BP10" i="2"/>
  <c r="BO10" i="2"/>
  <c r="BK10" i="2"/>
  <c r="BJ10" i="2"/>
  <c r="BD10" i="2"/>
  <c r="BC10" i="2"/>
  <c r="AW10" i="2"/>
  <c r="AV10" i="2"/>
  <c r="AP10" i="2"/>
  <c r="AO10" i="2"/>
  <c r="AI10" i="2"/>
  <c r="AH10" i="2"/>
  <c r="AB10" i="2"/>
  <c r="AA10" i="2"/>
  <c r="U10" i="2"/>
  <c r="T10" i="2"/>
  <c r="CJ9" i="2"/>
  <c r="CI9" i="2"/>
  <c r="CE9" i="2"/>
  <c r="CD9" i="2"/>
  <c r="BZ9" i="2"/>
  <c r="BY9" i="2"/>
  <c r="BU9" i="2"/>
  <c r="BT9" i="2"/>
  <c r="BP9" i="2"/>
  <c r="BO9" i="2"/>
  <c r="BK9" i="2"/>
  <c r="BJ9" i="2"/>
  <c r="BD9" i="2"/>
  <c r="BC9" i="2"/>
  <c r="AW9" i="2"/>
  <c r="AV9" i="2"/>
  <c r="AP9" i="2"/>
  <c r="AO9" i="2"/>
  <c r="AI9" i="2"/>
  <c r="AH9" i="2"/>
  <c r="AB9" i="2"/>
  <c r="AA9" i="2"/>
  <c r="U9" i="2"/>
  <c r="T9" i="2"/>
  <c r="CJ8" i="2"/>
  <c r="CI8" i="2"/>
  <c r="CE8" i="2"/>
  <c r="CD8" i="2"/>
  <c r="BZ8" i="2"/>
  <c r="BY8" i="2"/>
  <c r="BU8" i="2"/>
  <c r="BT8" i="2"/>
  <c r="BP8" i="2"/>
  <c r="BO8" i="2"/>
  <c r="BK8" i="2"/>
  <c r="BJ8" i="2"/>
  <c r="BD8" i="2"/>
  <c r="BC8" i="2"/>
  <c r="AW8" i="2"/>
  <c r="AV8" i="2"/>
  <c r="AP8" i="2"/>
  <c r="AO8" i="2"/>
  <c r="AI8" i="2"/>
  <c r="AH8" i="2"/>
  <c r="AB8" i="2"/>
  <c r="AA8" i="2"/>
  <c r="U8" i="2"/>
  <c r="T8" i="2"/>
  <c r="CJ7" i="2"/>
  <c r="CI7" i="2"/>
  <c r="CE7" i="2"/>
  <c r="CD7" i="2"/>
  <c r="BZ7" i="2"/>
  <c r="BY7" i="2"/>
  <c r="BU7" i="2"/>
  <c r="BT7" i="2"/>
  <c r="BP7" i="2"/>
  <c r="BO7" i="2"/>
  <c r="BK7" i="2"/>
  <c r="BJ7" i="2"/>
  <c r="BD7" i="2"/>
  <c r="BC7" i="2"/>
  <c r="AW7" i="2"/>
  <c r="AV7" i="2"/>
  <c r="AP7" i="2"/>
  <c r="AO7" i="2"/>
  <c r="AI7" i="2"/>
  <c r="AH7" i="2"/>
  <c r="AB7" i="2"/>
  <c r="AA7" i="2"/>
  <c r="U7" i="2"/>
  <c r="T7" i="2"/>
  <c r="CJ6" i="2"/>
  <c r="CI6" i="2"/>
  <c r="CE6" i="2"/>
  <c r="CD6" i="2"/>
  <c r="BZ6" i="2"/>
  <c r="BY6" i="2"/>
  <c r="BU6" i="2"/>
  <c r="BT6" i="2"/>
  <c r="BP6" i="2"/>
  <c r="BO6" i="2"/>
  <c r="BK6" i="2"/>
  <c r="BJ6" i="2"/>
  <c r="BD6" i="2"/>
  <c r="BC6" i="2"/>
  <c r="AW6" i="2"/>
  <c r="AV6" i="2"/>
  <c r="AP6" i="2"/>
  <c r="AO6" i="2"/>
  <c r="AI6" i="2"/>
  <c r="AH6" i="2"/>
  <c r="AB6" i="2"/>
  <c r="AA6" i="2"/>
  <c r="U6" i="2"/>
  <c r="T6" i="2"/>
  <c r="CJ5" i="2"/>
  <c r="CI5" i="2"/>
  <c r="CE5" i="2"/>
  <c r="CD5" i="2"/>
  <c r="BZ5" i="2"/>
  <c r="BY5" i="2"/>
  <c r="BU5" i="2"/>
  <c r="BT5" i="2"/>
  <c r="BP5" i="2"/>
  <c r="BO5" i="2"/>
  <c r="BK5" i="2"/>
  <c r="BJ5" i="2"/>
  <c r="BD5" i="2"/>
  <c r="BC5" i="2"/>
  <c r="AW5" i="2"/>
  <c r="AV5" i="2"/>
  <c r="AP5" i="2"/>
  <c r="AO5" i="2"/>
  <c r="AI5" i="2"/>
  <c r="AH5" i="2"/>
  <c r="AB5" i="2"/>
  <c r="AA5" i="2"/>
  <c r="U5" i="2"/>
  <c r="T5" i="2"/>
  <c r="CJ4" i="2"/>
  <c r="CI4" i="2"/>
  <c r="CE4" i="2"/>
  <c r="CD4" i="2"/>
  <c r="BZ4" i="2"/>
  <c r="BY4" i="2"/>
  <c r="BU4" i="2"/>
  <c r="BT4" i="2"/>
  <c r="BP4" i="2"/>
  <c r="BO4" i="2"/>
  <c r="BK4" i="2"/>
  <c r="BJ4" i="2"/>
  <c r="BD4" i="2"/>
  <c r="BC4" i="2"/>
  <c r="AW4" i="2"/>
  <c r="AV4" i="2"/>
  <c r="AP4" i="2"/>
  <c r="AO4" i="2"/>
  <c r="AI4" i="2"/>
  <c r="AH4" i="2"/>
  <c r="AB4" i="2"/>
  <c r="AA4" i="2"/>
  <c r="U4" i="2"/>
  <c r="T4" i="2"/>
  <c r="CJ3" i="2"/>
  <c r="CI3" i="2"/>
  <c r="CE3" i="2"/>
  <c r="CD3" i="2"/>
  <c r="BZ3" i="2"/>
  <c r="BY3" i="2"/>
  <c r="BU3" i="2"/>
  <c r="BT3" i="2"/>
  <c r="BP3" i="2"/>
  <c r="BO3" i="2"/>
  <c r="BK3" i="2"/>
  <c r="BJ3" i="2"/>
  <c r="BD3" i="2"/>
  <c r="BC3" i="2"/>
  <c r="AW3" i="2"/>
  <c r="AV3" i="2"/>
  <c r="AP3" i="2"/>
  <c r="AO3" i="2"/>
  <c r="AI3" i="2"/>
  <c r="AH3" i="2"/>
  <c r="AB3" i="2"/>
  <c r="AA3" i="2"/>
  <c r="U3" i="2"/>
  <c r="T3" i="2"/>
  <c r="CJ2" i="2"/>
  <c r="CI2" i="2"/>
  <c r="CE2" i="2"/>
  <c r="CD2" i="2"/>
  <c r="BZ2" i="2"/>
  <c r="BY2" i="2"/>
  <c r="BU2" i="2"/>
  <c r="BT2" i="2"/>
  <c r="BP2" i="2"/>
  <c r="BO2" i="2"/>
  <c r="BK2" i="2"/>
  <c r="BJ2" i="2"/>
  <c r="BD2" i="2"/>
  <c r="BC2" i="2"/>
  <c r="AW2" i="2"/>
  <c r="AV2" i="2"/>
  <c r="AP2" i="2"/>
  <c r="AO2" i="2"/>
  <c r="AI2" i="2"/>
  <c r="AH2" i="2"/>
  <c r="AB2" i="2"/>
  <c r="AA2" i="2"/>
  <c r="U2" i="2"/>
  <c r="T2" i="2"/>
  <c r="DB30" i="1"/>
  <c r="DC30" i="1"/>
  <c r="CQ31" i="1"/>
  <c r="DC31" i="1" s="1"/>
  <c r="CP31" i="1"/>
  <c r="DB31" i="1" s="1"/>
  <c r="CK31" i="1"/>
  <c r="CJ31" i="1"/>
  <c r="CK26" i="1"/>
  <c r="CJ26" i="1"/>
  <c r="CK24" i="1"/>
  <c r="CJ24" i="1"/>
  <c r="CK23" i="1"/>
  <c r="CJ23" i="1"/>
  <c r="CK21" i="1"/>
  <c r="CJ21" i="1"/>
  <c r="CK20" i="1"/>
  <c r="CJ20" i="1"/>
  <c r="CK19" i="1"/>
  <c r="CJ19" i="1"/>
  <c r="CK18" i="1"/>
  <c r="CJ18" i="1"/>
  <c r="CK17" i="1"/>
  <c r="CJ17" i="1"/>
  <c r="CK16" i="1"/>
  <c r="CJ16" i="1"/>
  <c r="CK15" i="1"/>
  <c r="CJ15" i="1"/>
  <c r="CK14" i="1"/>
  <c r="CJ14" i="1"/>
  <c r="CK13" i="1"/>
  <c r="CJ13" i="1"/>
  <c r="CK12" i="1"/>
  <c r="CJ12" i="1"/>
  <c r="CK11" i="1"/>
  <c r="CJ11" i="1"/>
  <c r="CK10" i="1"/>
  <c r="CJ10" i="1"/>
  <c r="CK9" i="1"/>
  <c r="CJ9" i="1"/>
  <c r="CK8" i="1"/>
  <c r="CJ8" i="1"/>
  <c r="CK7" i="1"/>
  <c r="CJ7" i="1"/>
  <c r="CK6" i="1"/>
  <c r="CJ6" i="1"/>
  <c r="CK5" i="1"/>
  <c r="CJ5" i="1"/>
  <c r="CK4" i="1"/>
  <c r="CJ4" i="1"/>
  <c r="CK3" i="1"/>
  <c r="CJ3" i="1"/>
  <c r="CF31" i="1"/>
  <c r="CE31" i="1"/>
  <c r="CF26" i="1"/>
  <c r="CE26" i="1"/>
  <c r="CF24" i="1"/>
  <c r="CE24" i="1"/>
  <c r="CF23" i="1"/>
  <c r="CE23" i="1"/>
  <c r="CF21" i="1"/>
  <c r="CE21" i="1"/>
  <c r="CF20" i="1"/>
  <c r="CE20" i="1"/>
  <c r="CF19" i="1"/>
  <c r="CE19" i="1"/>
  <c r="CF18" i="1"/>
  <c r="CE18" i="1"/>
  <c r="CF17" i="1"/>
  <c r="CE17" i="1"/>
  <c r="CF16" i="1"/>
  <c r="CE16" i="1"/>
  <c r="CF15" i="1"/>
  <c r="CE15" i="1"/>
  <c r="CF14" i="1"/>
  <c r="CE14" i="1"/>
  <c r="CF13" i="1"/>
  <c r="CE13" i="1"/>
  <c r="CF12" i="1"/>
  <c r="CE12" i="1"/>
  <c r="CF11" i="1"/>
  <c r="CE11" i="1"/>
  <c r="CF10" i="1"/>
  <c r="CE10" i="1"/>
  <c r="CF9" i="1"/>
  <c r="CE9" i="1"/>
  <c r="CF8" i="1"/>
  <c r="CE8" i="1"/>
  <c r="CF7" i="1"/>
  <c r="CE7" i="1"/>
  <c r="CF6" i="1"/>
  <c r="CE6" i="1"/>
  <c r="CF5" i="1"/>
  <c r="CE5" i="1"/>
  <c r="CF4" i="1"/>
  <c r="CE4" i="1"/>
  <c r="CF3" i="1"/>
  <c r="CE3" i="1"/>
  <c r="CA31" i="1"/>
  <c r="BZ31" i="1"/>
  <c r="CA26" i="1"/>
  <c r="BZ26" i="1"/>
  <c r="CA24" i="1"/>
  <c r="BZ24" i="1"/>
  <c r="CA23" i="1"/>
  <c r="BZ23" i="1"/>
  <c r="CA21" i="1"/>
  <c r="BZ21" i="1"/>
  <c r="CA20" i="1"/>
  <c r="BZ20" i="1"/>
  <c r="CA19" i="1"/>
  <c r="BZ19" i="1"/>
  <c r="CA18" i="1"/>
  <c r="BZ18" i="1"/>
  <c r="CA17" i="1"/>
  <c r="BZ17" i="1"/>
  <c r="CA16" i="1"/>
  <c r="BZ16" i="1"/>
  <c r="CA15" i="1"/>
  <c r="BZ15" i="1"/>
  <c r="CA14" i="1"/>
  <c r="BZ14" i="1"/>
  <c r="CA13" i="1"/>
  <c r="BZ13" i="1"/>
  <c r="CA12" i="1"/>
  <c r="BZ12" i="1"/>
  <c r="CA11" i="1"/>
  <c r="BZ11" i="1"/>
  <c r="CA10" i="1"/>
  <c r="BZ10" i="1"/>
  <c r="CA9" i="1"/>
  <c r="BZ9" i="1"/>
  <c r="CA8" i="1"/>
  <c r="BZ8" i="1"/>
  <c r="CA7" i="1"/>
  <c r="BZ7" i="1"/>
  <c r="CA6" i="1"/>
  <c r="BZ6" i="1"/>
  <c r="CA5" i="1"/>
  <c r="BZ5" i="1"/>
  <c r="CA4" i="1"/>
  <c r="BZ4" i="1"/>
  <c r="CA3" i="1"/>
  <c r="BZ3" i="1"/>
  <c r="BV31" i="1"/>
  <c r="BU31" i="1"/>
  <c r="BV26" i="1"/>
  <c r="BU26" i="1"/>
  <c r="BV24" i="1"/>
  <c r="BU24" i="1"/>
  <c r="BV23" i="1"/>
  <c r="BU23" i="1"/>
  <c r="BV21" i="1"/>
  <c r="BU21" i="1"/>
  <c r="BV20" i="1"/>
  <c r="BU20" i="1"/>
  <c r="BV19" i="1"/>
  <c r="BU19" i="1"/>
  <c r="BV18" i="1"/>
  <c r="BU18" i="1"/>
  <c r="BV17" i="1"/>
  <c r="BU17" i="1"/>
  <c r="BV16" i="1"/>
  <c r="BU16" i="1"/>
  <c r="BV15" i="1"/>
  <c r="BU15" i="1"/>
  <c r="BV14" i="1"/>
  <c r="BU14" i="1"/>
  <c r="BV13" i="1"/>
  <c r="BU13" i="1"/>
  <c r="BV12" i="1"/>
  <c r="BU12" i="1"/>
  <c r="BV11" i="1"/>
  <c r="BU11" i="1"/>
  <c r="BV10" i="1"/>
  <c r="BU10" i="1"/>
  <c r="BV9" i="1"/>
  <c r="BU9" i="1"/>
  <c r="BV8" i="1"/>
  <c r="BU8" i="1"/>
  <c r="BV7" i="1"/>
  <c r="BU7" i="1"/>
  <c r="BV6" i="1"/>
  <c r="BU6" i="1"/>
  <c r="BV5" i="1"/>
  <c r="BU5" i="1"/>
  <c r="BV4" i="1"/>
  <c r="BU4" i="1"/>
  <c r="BV3" i="1"/>
  <c r="BU3" i="1"/>
  <c r="BQ31" i="1"/>
  <c r="BP31" i="1"/>
  <c r="BQ26" i="1"/>
  <c r="BP26" i="1"/>
  <c r="BQ24" i="1"/>
  <c r="BP24" i="1"/>
  <c r="BQ23" i="1"/>
  <c r="BP23" i="1"/>
  <c r="BQ21" i="1"/>
  <c r="BP21" i="1"/>
  <c r="BQ20" i="1"/>
  <c r="BP20" i="1"/>
  <c r="BQ19" i="1"/>
  <c r="BP19" i="1"/>
  <c r="BQ18" i="1"/>
  <c r="BP18" i="1"/>
  <c r="BQ17" i="1"/>
  <c r="BP17" i="1"/>
  <c r="BQ16" i="1"/>
  <c r="BP16" i="1"/>
  <c r="BQ15" i="1"/>
  <c r="BP15" i="1"/>
  <c r="BQ14" i="1"/>
  <c r="BP14" i="1"/>
  <c r="BQ13" i="1"/>
  <c r="BP13" i="1"/>
  <c r="BQ12" i="1"/>
  <c r="BP12" i="1"/>
  <c r="BQ11" i="1"/>
  <c r="BP11" i="1"/>
  <c r="BQ10" i="1"/>
  <c r="BP10" i="1"/>
  <c r="BQ9" i="1"/>
  <c r="BP9" i="1"/>
  <c r="BQ8" i="1"/>
  <c r="BP8" i="1"/>
  <c r="BQ7" i="1"/>
  <c r="BP7" i="1"/>
  <c r="BQ6" i="1"/>
  <c r="BP6" i="1"/>
  <c r="BQ5" i="1"/>
  <c r="BP5" i="1"/>
  <c r="BQ4" i="1"/>
  <c r="BP4" i="1"/>
  <c r="BQ3" i="1"/>
  <c r="BP3" i="1"/>
  <c r="BL31" i="1"/>
  <c r="BK31" i="1"/>
  <c r="BL26" i="1"/>
  <c r="BK26" i="1"/>
  <c r="BL24" i="1"/>
  <c r="BK24" i="1"/>
  <c r="BL23" i="1"/>
  <c r="BK23" i="1"/>
  <c r="BL21" i="1"/>
  <c r="BK21" i="1"/>
  <c r="BL20" i="1"/>
  <c r="BK20" i="1"/>
  <c r="BL19" i="1"/>
  <c r="BK19" i="1"/>
  <c r="BL18" i="1"/>
  <c r="BK18" i="1"/>
  <c r="BL17" i="1"/>
  <c r="BK17" i="1"/>
  <c r="BL16" i="1"/>
  <c r="BK16" i="1"/>
  <c r="BL15" i="1"/>
  <c r="BK15" i="1"/>
  <c r="BL14" i="1"/>
  <c r="BK14" i="1"/>
  <c r="BL13" i="1"/>
  <c r="BK13" i="1"/>
  <c r="BL12" i="1"/>
  <c r="BK12" i="1"/>
  <c r="BL11" i="1"/>
  <c r="BK11" i="1"/>
  <c r="BL10" i="1"/>
  <c r="BK10" i="1"/>
  <c r="BL9" i="1"/>
  <c r="BK9" i="1"/>
  <c r="BL8" i="1"/>
  <c r="BK8" i="1"/>
  <c r="BL7" i="1"/>
  <c r="BK7" i="1"/>
  <c r="BL6" i="1"/>
  <c r="BK6" i="1"/>
  <c r="BL5" i="1"/>
  <c r="BK5" i="1"/>
  <c r="BL4" i="1"/>
  <c r="BK4" i="1"/>
  <c r="BL3" i="1"/>
  <c r="BK3" i="1"/>
  <c r="BE31" i="1"/>
  <c r="BD31" i="1"/>
  <c r="BE26" i="1"/>
  <c r="BD26" i="1"/>
  <c r="BE24" i="1"/>
  <c r="BD24" i="1"/>
  <c r="BE23" i="1"/>
  <c r="BD23" i="1"/>
  <c r="BE21" i="1"/>
  <c r="BD21" i="1"/>
  <c r="BE20" i="1"/>
  <c r="BD20" i="1"/>
  <c r="BE19" i="1"/>
  <c r="BD19" i="1"/>
  <c r="BE18" i="1"/>
  <c r="BD18" i="1"/>
  <c r="BE17" i="1"/>
  <c r="BD17" i="1"/>
  <c r="BE16" i="1"/>
  <c r="BD16" i="1"/>
  <c r="BE15" i="1"/>
  <c r="BD15" i="1"/>
  <c r="BE14" i="1"/>
  <c r="BD14" i="1"/>
  <c r="BE13" i="1"/>
  <c r="BD13" i="1"/>
  <c r="BE12" i="1"/>
  <c r="BD12" i="1"/>
  <c r="BE11" i="1"/>
  <c r="BD11" i="1"/>
  <c r="BE10" i="1"/>
  <c r="BD10" i="1"/>
  <c r="BE9" i="1"/>
  <c r="BD9" i="1"/>
  <c r="BE8" i="1"/>
  <c r="BD8" i="1"/>
  <c r="BE7" i="1"/>
  <c r="BD7" i="1"/>
  <c r="BE6" i="1"/>
  <c r="BD6" i="1"/>
  <c r="BE5" i="1"/>
  <c r="BD5" i="1"/>
  <c r="BE4" i="1"/>
  <c r="BD4" i="1"/>
  <c r="BE3" i="1"/>
  <c r="BD3" i="1"/>
  <c r="AX26" i="1"/>
  <c r="AW26" i="1"/>
  <c r="AX24" i="1"/>
  <c r="AW24" i="1"/>
  <c r="AX23" i="1"/>
  <c r="AW23" i="1"/>
  <c r="AX21" i="1"/>
  <c r="AW21" i="1"/>
  <c r="AX20" i="1"/>
  <c r="AW20" i="1"/>
  <c r="AX19" i="1"/>
  <c r="AW19" i="1"/>
  <c r="AX18" i="1"/>
  <c r="AW18" i="1"/>
  <c r="AX17" i="1"/>
  <c r="AW17" i="1"/>
  <c r="AX16" i="1"/>
  <c r="AW16" i="1"/>
  <c r="AX15" i="1"/>
  <c r="AW15" i="1"/>
  <c r="AX14" i="1"/>
  <c r="AW14" i="1"/>
  <c r="AX13" i="1"/>
  <c r="AW13" i="1"/>
  <c r="AX12" i="1"/>
  <c r="AW12" i="1"/>
  <c r="AX11" i="1"/>
  <c r="AW11" i="1"/>
  <c r="AX10" i="1"/>
  <c r="AW10" i="1"/>
  <c r="AX9" i="1"/>
  <c r="AW9" i="1"/>
  <c r="AX8" i="1"/>
  <c r="AW8" i="1"/>
  <c r="AX7" i="1"/>
  <c r="AW7" i="1"/>
  <c r="AX6" i="1"/>
  <c r="AW6" i="1"/>
  <c r="AX5" i="1"/>
  <c r="AW5" i="1"/>
  <c r="AX4" i="1"/>
  <c r="AW4" i="1"/>
  <c r="AX3" i="1"/>
  <c r="AW3" i="1"/>
  <c r="AP4" i="1"/>
  <c r="AQ4" i="1"/>
  <c r="AP5" i="1"/>
  <c r="AQ5" i="1"/>
  <c r="AP6" i="1"/>
  <c r="AQ6" i="1"/>
  <c r="AP7" i="1"/>
  <c r="AQ7" i="1"/>
  <c r="AP8" i="1"/>
  <c r="AQ8" i="1"/>
  <c r="AP9" i="1"/>
  <c r="AQ9" i="1"/>
  <c r="AP10" i="1"/>
  <c r="AQ10" i="1"/>
  <c r="AP11" i="1"/>
  <c r="AQ11" i="1"/>
  <c r="AP12" i="1"/>
  <c r="AQ12" i="1"/>
  <c r="AP13" i="1"/>
  <c r="AQ13" i="1"/>
  <c r="AP14" i="1"/>
  <c r="AQ14" i="1"/>
  <c r="AP15" i="1"/>
  <c r="AQ15" i="1"/>
  <c r="AP16" i="1"/>
  <c r="AQ16" i="1"/>
  <c r="AP17" i="1"/>
  <c r="AQ17" i="1"/>
  <c r="AP18" i="1"/>
  <c r="AQ18" i="1"/>
  <c r="AP19" i="1"/>
  <c r="AQ19" i="1"/>
  <c r="AP20" i="1"/>
  <c r="AQ20" i="1"/>
  <c r="AP21" i="1"/>
  <c r="AQ21" i="1"/>
  <c r="AP23" i="1"/>
  <c r="AQ23" i="1"/>
  <c r="AP24" i="1"/>
  <c r="AQ24" i="1"/>
  <c r="AP26" i="1"/>
  <c r="AQ26" i="1"/>
  <c r="AQ3" i="1"/>
  <c r="AP3" i="1"/>
  <c r="AI4" i="1"/>
  <c r="AJ4" i="1"/>
  <c r="AI5" i="1"/>
  <c r="AJ5" i="1"/>
  <c r="AI6" i="1"/>
  <c r="AJ6" i="1"/>
  <c r="AI7" i="1"/>
  <c r="AJ7" i="1"/>
  <c r="AI8" i="1"/>
  <c r="AJ8" i="1"/>
  <c r="AI9" i="1"/>
  <c r="AJ9" i="1"/>
  <c r="AI10" i="1"/>
  <c r="AJ10" i="1"/>
  <c r="AI11" i="1"/>
  <c r="AJ11" i="1"/>
  <c r="AI12" i="1"/>
  <c r="AJ12" i="1"/>
  <c r="AI13" i="1"/>
  <c r="AJ13" i="1"/>
  <c r="AI14" i="1"/>
  <c r="AJ14" i="1"/>
  <c r="AI15" i="1"/>
  <c r="AJ15" i="1"/>
  <c r="AI16" i="1"/>
  <c r="AJ16" i="1"/>
  <c r="AI17" i="1"/>
  <c r="AJ17" i="1"/>
  <c r="AI18" i="1"/>
  <c r="AJ18" i="1"/>
  <c r="AI19" i="1"/>
  <c r="AJ19" i="1"/>
  <c r="AI20" i="1"/>
  <c r="AJ20" i="1"/>
  <c r="AI21" i="1"/>
  <c r="AJ21" i="1"/>
  <c r="AI23" i="1"/>
  <c r="AJ23" i="1"/>
  <c r="AI24" i="1"/>
  <c r="AJ24" i="1"/>
  <c r="AI26" i="1"/>
  <c r="AJ26" i="1"/>
  <c r="AJ3" i="1"/>
  <c r="AI3" i="1"/>
  <c r="AX31" i="1"/>
  <c r="AW31" i="1"/>
  <c r="AQ31" i="1"/>
  <c r="AP31" i="1"/>
  <c r="AJ31" i="1"/>
  <c r="AI31" i="1"/>
  <c r="AC31" i="1"/>
  <c r="AB31" i="1"/>
  <c r="AB4" i="1"/>
  <c r="AC4" i="1"/>
  <c r="AB5" i="1"/>
  <c r="AC5" i="1"/>
  <c r="AB6" i="1"/>
  <c r="AC6" i="1"/>
  <c r="AB7" i="1"/>
  <c r="AC7" i="1"/>
  <c r="AB8" i="1"/>
  <c r="AC8" i="1"/>
  <c r="AB9" i="1"/>
  <c r="AC9" i="1"/>
  <c r="AB10" i="1"/>
  <c r="AC10" i="1"/>
  <c r="AB11" i="1"/>
  <c r="AC11" i="1"/>
  <c r="AB12" i="1"/>
  <c r="AC12" i="1"/>
  <c r="AB13" i="1"/>
  <c r="AC13" i="1"/>
  <c r="AB14" i="1"/>
  <c r="AC14" i="1"/>
  <c r="AB15" i="1"/>
  <c r="AC15" i="1"/>
  <c r="AB16" i="1"/>
  <c r="AC16" i="1"/>
  <c r="AB17" i="1"/>
  <c r="AC17" i="1"/>
  <c r="AB18" i="1"/>
  <c r="AC18" i="1"/>
  <c r="AB19" i="1"/>
  <c r="AC19" i="1"/>
  <c r="AB20" i="1"/>
  <c r="AC20" i="1"/>
  <c r="AB21" i="1"/>
  <c r="AC21" i="1"/>
  <c r="AB23" i="1"/>
  <c r="AC23" i="1"/>
  <c r="AB24" i="1"/>
  <c r="AC24" i="1"/>
  <c r="AB26" i="1"/>
  <c r="AC26" i="1"/>
  <c r="AC3" i="1"/>
  <c r="AB3" i="1"/>
  <c r="V31" i="1"/>
  <c r="U31" i="1"/>
  <c r="U4" i="1"/>
  <c r="V4" i="1"/>
  <c r="U5" i="1"/>
  <c r="V5" i="1"/>
  <c r="U6" i="1"/>
  <c r="V6" i="1"/>
  <c r="U7" i="1"/>
  <c r="V7" i="1"/>
  <c r="CQ7" i="1" s="1"/>
  <c r="U8" i="1"/>
  <c r="V8" i="1"/>
  <c r="U9" i="1"/>
  <c r="V9" i="1"/>
  <c r="U10" i="1"/>
  <c r="V10" i="1"/>
  <c r="U11" i="1"/>
  <c r="V11" i="1"/>
  <c r="CQ11" i="1" s="1"/>
  <c r="U12" i="1"/>
  <c r="V12" i="1"/>
  <c r="U13" i="1"/>
  <c r="V13" i="1"/>
  <c r="U14" i="1"/>
  <c r="V14" i="1"/>
  <c r="U15" i="1"/>
  <c r="V15" i="1"/>
  <c r="CQ15" i="1" s="1"/>
  <c r="U16" i="1"/>
  <c r="V16" i="1"/>
  <c r="U17" i="1"/>
  <c r="V17" i="1"/>
  <c r="U18" i="1"/>
  <c r="V18" i="1"/>
  <c r="U19" i="1"/>
  <c r="V19" i="1"/>
  <c r="CQ19" i="1" s="1"/>
  <c r="U20" i="1"/>
  <c r="V20" i="1"/>
  <c r="U21" i="1"/>
  <c r="V21" i="1"/>
  <c r="U23" i="1"/>
  <c r="V23" i="1"/>
  <c r="U24" i="1"/>
  <c r="V24" i="1"/>
  <c r="CQ24" i="1" s="1"/>
  <c r="U26" i="1"/>
  <c r="V26" i="1"/>
  <c r="V3" i="1"/>
  <c r="U3" i="1"/>
  <c r="DC22" i="1" l="1"/>
  <c r="CW22" i="1"/>
  <c r="DB22" i="1"/>
  <c r="CV22" i="1"/>
  <c r="CQ25" i="1"/>
  <c r="CQ26" i="1"/>
  <c r="CQ16" i="1"/>
  <c r="CQ8" i="1"/>
  <c r="CQ20" i="1"/>
  <c r="CW20" i="1" s="1"/>
  <c r="CQ12" i="1"/>
  <c r="CW12" i="1" s="1"/>
  <c r="DC25" i="1"/>
  <c r="CW25" i="1"/>
  <c r="DB25" i="1"/>
  <c r="CV25" i="1"/>
  <c r="CP24" i="1"/>
  <c r="CP19" i="1"/>
  <c r="DB19" i="1" s="1"/>
  <c r="CP15" i="1"/>
  <c r="DB15" i="1" s="1"/>
  <c r="CP11" i="1"/>
  <c r="CQ27" i="1"/>
  <c r="DC27" i="1" s="1"/>
  <c r="CQ23" i="1"/>
  <c r="CW23" i="1" s="1"/>
  <c r="CQ18" i="1"/>
  <c r="DC18" i="1" s="1"/>
  <c r="CQ14" i="1"/>
  <c r="CW14" i="1" s="1"/>
  <c r="CQ10" i="1"/>
  <c r="CW10" i="1" s="1"/>
  <c r="CQ6" i="1"/>
  <c r="DC6" i="1" s="1"/>
  <c r="CP23" i="1"/>
  <c r="DB23" i="1" s="1"/>
  <c r="CP18" i="1"/>
  <c r="CP14" i="1"/>
  <c r="DB14" i="1" s="1"/>
  <c r="CP10" i="1"/>
  <c r="DB10" i="1" s="1"/>
  <c r="CP6" i="1"/>
  <c r="DB6" i="1" s="1"/>
  <c r="CQ21" i="1"/>
  <c r="DC21" i="1" s="1"/>
  <c r="CQ5" i="1"/>
  <c r="CW5" i="1" s="1"/>
  <c r="CQ17" i="1"/>
  <c r="CQ13" i="1"/>
  <c r="CW13" i="1" s="1"/>
  <c r="CQ9" i="1"/>
  <c r="DC9" i="1" s="1"/>
  <c r="CP21" i="1"/>
  <c r="DB21" i="1" s="1"/>
  <c r="CP17" i="1"/>
  <c r="DB17" i="1" s="1"/>
  <c r="CP13" i="1"/>
  <c r="CP9" i="1"/>
  <c r="DB9" i="1" s="1"/>
  <c r="CP5" i="1"/>
  <c r="CV5" i="1" s="1"/>
  <c r="CQ4" i="1"/>
  <c r="CP26" i="1"/>
  <c r="DB26" i="1" s="1"/>
  <c r="CP20" i="1"/>
  <c r="CP16" i="1"/>
  <c r="CP12" i="1"/>
  <c r="DB12" i="1" s="1"/>
  <c r="CP8" i="1"/>
  <c r="DB8" i="1" s="1"/>
  <c r="CP4" i="1"/>
  <c r="DB4" i="1" s="1"/>
  <c r="AP28" i="1"/>
  <c r="AP29" i="1" s="1"/>
  <c r="DB27" i="1"/>
  <c r="CV27" i="1"/>
  <c r="CW27" i="1"/>
  <c r="CP7" i="1"/>
  <c r="DB7" i="1" s="1"/>
  <c r="BK28" i="1"/>
  <c r="BK33" i="1" s="1"/>
  <c r="BK34" i="1" s="1"/>
  <c r="CE28" i="1"/>
  <c r="CE33" i="1" s="1"/>
  <c r="CE34" i="1" s="1"/>
  <c r="AB28" i="1"/>
  <c r="AB29" i="1" s="1"/>
  <c r="BL28" i="1"/>
  <c r="BL29" i="1" s="1"/>
  <c r="CF28" i="1"/>
  <c r="CF29" i="1" s="1"/>
  <c r="AC28" i="1"/>
  <c r="AC29" i="1" s="1"/>
  <c r="BD28" i="1"/>
  <c r="BD32" i="1" s="1"/>
  <c r="BE28" i="1"/>
  <c r="BE29" i="1" s="1"/>
  <c r="CA28" i="1"/>
  <c r="CA32" i="1" s="1"/>
  <c r="BU28" i="1"/>
  <c r="BU29" i="1" s="1"/>
  <c r="BV28" i="1"/>
  <c r="BV32" i="1" s="1"/>
  <c r="BP28" i="1"/>
  <c r="BP29" i="1" s="1"/>
  <c r="CJ28" i="1"/>
  <c r="CJ32" i="1" s="1"/>
  <c r="AX28" i="1"/>
  <c r="AX29" i="1" s="1"/>
  <c r="BQ28" i="1"/>
  <c r="BQ29" i="1" s="1"/>
  <c r="CK28" i="1"/>
  <c r="CK29" i="1" s="1"/>
  <c r="BZ28" i="1"/>
  <c r="BZ29" i="1" s="1"/>
  <c r="AW28" i="1"/>
  <c r="AW32" i="1" s="1"/>
  <c r="AQ28" i="1"/>
  <c r="AQ29" i="1" s="1"/>
  <c r="AJ28" i="1"/>
  <c r="AJ29" i="1" s="1"/>
  <c r="DC4" i="1"/>
  <c r="CW4" i="1"/>
  <c r="DB5" i="1"/>
  <c r="DC5" i="1"/>
  <c r="CW7" i="1"/>
  <c r="DC7" i="1"/>
  <c r="CW8" i="1"/>
  <c r="DC8" i="1"/>
  <c r="CV9" i="1"/>
  <c r="DC10" i="1"/>
  <c r="CV11" i="1"/>
  <c r="DB11" i="1"/>
  <c r="DC11" i="1"/>
  <c r="CW11" i="1"/>
  <c r="DB13" i="1"/>
  <c r="CV13" i="1"/>
  <c r="DC13" i="1"/>
  <c r="DC15" i="1"/>
  <c r="CW15" i="1"/>
  <c r="DB16" i="1"/>
  <c r="CV16" i="1"/>
  <c r="DC16" i="1"/>
  <c r="CW16" i="1"/>
  <c r="DC17" i="1"/>
  <c r="CW17" i="1"/>
  <c r="DB18" i="1"/>
  <c r="CV18" i="1"/>
  <c r="CW18" i="1"/>
  <c r="DC19" i="1"/>
  <c r="CW19" i="1"/>
  <c r="DB20" i="1"/>
  <c r="CV20" i="1"/>
  <c r="DC20" i="1"/>
  <c r="DB24" i="1"/>
  <c r="CV24" i="1"/>
  <c r="DC24" i="1"/>
  <c r="CW24" i="1"/>
  <c r="DC26" i="1"/>
  <c r="CW26" i="1"/>
  <c r="CQ3" i="1"/>
  <c r="V28" i="1"/>
  <c r="CP3" i="1"/>
  <c r="U28" i="1"/>
  <c r="U32" i="1" s="1"/>
  <c r="CO24" i="2"/>
  <c r="CU24" i="2" s="1"/>
  <c r="CP24" i="2"/>
  <c r="CV24" i="2" s="1"/>
  <c r="CP23" i="2"/>
  <c r="CO23" i="2"/>
  <c r="CP4" i="2"/>
  <c r="CV4" i="2" s="1"/>
  <c r="CP5" i="2"/>
  <c r="DB5" i="2" s="1"/>
  <c r="CP6" i="2"/>
  <c r="DB6" i="2" s="1"/>
  <c r="CP7" i="2"/>
  <c r="CV7" i="2" s="1"/>
  <c r="CP8" i="2"/>
  <c r="DB8" i="2" s="1"/>
  <c r="CP10" i="2"/>
  <c r="DB10" i="2" s="1"/>
  <c r="CO6" i="2"/>
  <c r="DA6" i="2" s="1"/>
  <c r="CO7" i="2"/>
  <c r="CU7" i="2" s="1"/>
  <c r="CO8" i="2"/>
  <c r="CO9" i="2"/>
  <c r="DA9" i="2" s="1"/>
  <c r="CO10" i="2"/>
  <c r="DA10" i="2" s="1"/>
  <c r="CO12" i="2"/>
  <c r="DA12" i="2" s="1"/>
  <c r="CO13" i="2"/>
  <c r="DA13" i="2" s="1"/>
  <c r="CO14" i="2"/>
  <c r="CU14" i="2" s="1"/>
  <c r="CO15" i="2"/>
  <c r="DA15" i="2" s="1"/>
  <c r="CO16" i="2"/>
  <c r="CU16" i="2" s="1"/>
  <c r="CO17" i="2"/>
  <c r="DA17" i="2" s="1"/>
  <c r="CO18" i="2"/>
  <c r="DA18" i="2" s="1"/>
  <c r="CO19" i="2"/>
  <c r="CU19" i="2" s="1"/>
  <c r="CO20" i="2"/>
  <c r="DA20" i="2" s="1"/>
  <c r="CO27" i="2"/>
  <c r="CP13" i="2"/>
  <c r="DB13" i="2" s="1"/>
  <c r="CP15" i="2"/>
  <c r="DB15" i="2" s="1"/>
  <c r="CP17" i="2"/>
  <c r="CV17" i="2" s="1"/>
  <c r="CP11" i="2"/>
  <c r="DB11" i="2" s="1"/>
  <c r="CP14" i="2"/>
  <c r="DB14" i="2" s="1"/>
  <c r="CP18" i="2"/>
  <c r="DB18" i="2" s="1"/>
  <c r="CP20" i="2"/>
  <c r="DB20" i="2" s="1"/>
  <c r="CP9" i="2"/>
  <c r="DB9" i="2" s="1"/>
  <c r="CO11" i="2"/>
  <c r="CU11" i="2" s="1"/>
  <c r="CP12" i="2"/>
  <c r="CV12" i="2" s="1"/>
  <c r="CP16" i="2"/>
  <c r="DB16" i="2" s="1"/>
  <c r="CP19" i="2"/>
  <c r="DB19" i="2" s="1"/>
  <c r="CP27" i="2"/>
  <c r="CO2" i="2"/>
  <c r="DA2" i="2" s="1"/>
  <c r="CP2" i="2"/>
  <c r="DB2" i="2" s="1"/>
  <c r="CO3" i="2"/>
  <c r="CU3" i="2" s="1"/>
  <c r="CO4" i="2"/>
  <c r="CU4" i="2" s="1"/>
  <c r="CO5" i="2"/>
  <c r="DA5" i="2" s="1"/>
  <c r="CP3" i="2"/>
  <c r="CV3" i="2" s="1"/>
  <c r="DB17" i="2"/>
  <c r="CJ29" i="1"/>
  <c r="CF32" i="1"/>
  <c r="BZ33" i="1"/>
  <c r="BZ34" i="1" s="1"/>
  <c r="BL33" i="1"/>
  <c r="BL34" i="1" s="1"/>
  <c r="BD29" i="1"/>
  <c r="AI28" i="1"/>
  <c r="AI29" i="1" s="1"/>
  <c r="AP32" i="1"/>
  <c r="BD33" i="1" l="1"/>
  <c r="BD34" i="1" s="1"/>
  <c r="BL32" i="1"/>
  <c r="AP33" i="1"/>
  <c r="AP34" i="1" s="1"/>
  <c r="BV33" i="1"/>
  <c r="BV34" i="1" s="1"/>
  <c r="DC12" i="1"/>
  <c r="CV17" i="1"/>
  <c r="CV19" i="1"/>
  <c r="CV7" i="1"/>
  <c r="DC23" i="1"/>
  <c r="CV15" i="1"/>
  <c r="CV10" i="1"/>
  <c r="AJ32" i="1"/>
  <c r="BQ33" i="1"/>
  <c r="BQ34" i="1" s="1"/>
  <c r="CV21" i="1"/>
  <c r="CV12" i="1"/>
  <c r="BQ32" i="1"/>
  <c r="CV14" i="1"/>
  <c r="CW9" i="1"/>
  <c r="CW6" i="1"/>
  <c r="AC33" i="1"/>
  <c r="AC34" i="1" s="1"/>
  <c r="BZ32" i="1"/>
  <c r="BK29" i="1"/>
  <c r="BE32" i="1"/>
  <c r="CK32" i="1"/>
  <c r="DC14" i="1"/>
  <c r="CV6" i="1"/>
  <c r="CV4" i="1"/>
  <c r="CF33" i="1"/>
  <c r="CF34" i="1" s="1"/>
  <c r="CV26" i="1"/>
  <c r="CV23" i="1"/>
  <c r="CV8" i="1"/>
  <c r="BK32" i="1"/>
  <c r="AQ32" i="1"/>
  <c r="BU32" i="1"/>
  <c r="CE29" i="1"/>
  <c r="AB33" i="1"/>
  <c r="AB34" i="1" s="1"/>
  <c r="CW21" i="1"/>
  <c r="AW29" i="1"/>
  <c r="AB32" i="1"/>
  <c r="BV29" i="1"/>
  <c r="CJ33" i="1"/>
  <c r="CJ34" i="1" s="1"/>
  <c r="AX33" i="1"/>
  <c r="AX34" i="1" s="1"/>
  <c r="AC32" i="1"/>
  <c r="AW33" i="1"/>
  <c r="AW34" i="1" s="1"/>
  <c r="CE32" i="1"/>
  <c r="CK33" i="1"/>
  <c r="CK34" i="1" s="1"/>
  <c r="BU33" i="1"/>
  <c r="BU34" i="1" s="1"/>
  <c r="AX32" i="1"/>
  <c r="BE33" i="1"/>
  <c r="BE34" i="1" s="1"/>
  <c r="BP33" i="1"/>
  <c r="BP34" i="1" s="1"/>
  <c r="BP32" i="1"/>
  <c r="CA33" i="1"/>
  <c r="CA34" i="1" s="1"/>
  <c r="CA29" i="1"/>
  <c r="AJ33" i="1"/>
  <c r="AJ34" i="1" s="1"/>
  <c r="AQ33" i="1"/>
  <c r="AQ34" i="1" s="1"/>
  <c r="DC3" i="1"/>
  <c r="CW3" i="1"/>
  <c r="V32" i="1"/>
  <c r="V33" i="1"/>
  <c r="V34" i="1" s="1"/>
  <c r="V29" i="1"/>
  <c r="CQ28" i="1"/>
  <c r="DB3" i="1"/>
  <c r="CV3" i="1"/>
  <c r="U33" i="1"/>
  <c r="U34" i="1" s="1"/>
  <c r="U29" i="1"/>
  <c r="CP28" i="1"/>
  <c r="DA8" i="2"/>
  <c r="CU8" i="2"/>
  <c r="CV27" i="2"/>
  <c r="CU27" i="2"/>
  <c r="DA24" i="2"/>
  <c r="CV23" i="2"/>
  <c r="DA23" i="2"/>
  <c r="DB24" i="2"/>
  <c r="CV10" i="2"/>
  <c r="CV6" i="2"/>
  <c r="CU2" i="2"/>
  <c r="CV11" i="2"/>
  <c r="DB12" i="2"/>
  <c r="DA19" i="2"/>
  <c r="CU17" i="2"/>
  <c r="CU10" i="2"/>
  <c r="CU9" i="2"/>
  <c r="DB23" i="2"/>
  <c r="DA16" i="2"/>
  <c r="DB4" i="2"/>
  <c r="CU15" i="2"/>
  <c r="CV19" i="2"/>
  <c r="DA11" i="2"/>
  <c r="CV5" i="2"/>
  <c r="CU6" i="2"/>
  <c r="CV15" i="2"/>
  <c r="CV18" i="2"/>
  <c r="CV13" i="2"/>
  <c r="CU23" i="2"/>
  <c r="DB27" i="2"/>
  <c r="CV8" i="2"/>
  <c r="CU18" i="2"/>
  <c r="CV2" i="2"/>
  <c r="CV20" i="2"/>
  <c r="DA14" i="2"/>
  <c r="CU12" i="2"/>
  <c r="DB7" i="2"/>
  <c r="DA27" i="2"/>
  <c r="CU5" i="2"/>
  <c r="CV16" i="2"/>
  <c r="DA4" i="2"/>
  <c r="CV14" i="2"/>
  <c r="CU20" i="2"/>
  <c r="CU13" i="2"/>
  <c r="CV9" i="2"/>
  <c r="DA7" i="2"/>
  <c r="DB3" i="2"/>
  <c r="DA3" i="2"/>
  <c r="AI33" i="1"/>
  <c r="AI34" i="1" s="1"/>
  <c r="AI32" i="1"/>
  <c r="CQ32" i="1" l="1"/>
  <c r="DC32" i="1" s="1"/>
  <c r="CQ29" i="1"/>
  <c r="DC29" i="1" s="1"/>
  <c r="CQ33" i="1"/>
  <c r="DC28" i="1"/>
  <c r="CW28" i="1"/>
  <c r="CW29" i="1" s="1"/>
  <c r="CP32" i="1"/>
  <c r="DB32" i="1" s="1"/>
  <c r="CP29" i="1"/>
  <c r="DB29" i="1" s="1"/>
  <c r="CP33" i="1"/>
  <c r="DB28" i="1"/>
  <c r="CV28" i="1"/>
  <c r="CV29" i="1" s="1"/>
  <c r="DC33" i="1" l="1"/>
  <c r="CQ34" i="1"/>
  <c r="DC34" i="1" s="1"/>
  <c r="DB33" i="1"/>
  <c r="CP34" i="1"/>
  <c r="DB34" i="1" s="1"/>
</calcChain>
</file>

<file path=xl/sharedStrings.xml><?xml version="1.0" encoding="utf-8"?>
<sst xmlns="http://schemas.openxmlformats.org/spreadsheetml/2006/main" count="1197" uniqueCount="203">
  <si>
    <t>品牌</t>
  </si>
  <si>
    <t>财年</t>
  </si>
  <si>
    <t>城市</t>
  </si>
  <si>
    <t>门店名称</t>
  </si>
  <si>
    <t>是否关键门店</t>
  </si>
  <si>
    <t>DoorCode</t>
  </si>
  <si>
    <t>CostCode</t>
  </si>
  <si>
    <t>岗位类型</t>
  </si>
  <si>
    <t>财务编码</t>
  </si>
  <si>
    <t>预算财务编码</t>
  </si>
  <si>
    <t>门店类型</t>
  </si>
  <si>
    <t>DoorConcept</t>
  </si>
  <si>
    <t>DoorType</t>
  </si>
  <si>
    <t>Tier</t>
  </si>
  <si>
    <t>开柜时间</t>
  </si>
  <si>
    <t>关柜时间</t>
  </si>
  <si>
    <t>Retail Sales</t>
  </si>
  <si>
    <t>Net Sales</t>
  </si>
  <si>
    <t>7月薪资</t>
  </si>
  <si>
    <t>7月福利</t>
  </si>
  <si>
    <t>7月HC</t>
  </si>
  <si>
    <t>7月上财年补缴福利</t>
  </si>
  <si>
    <t>7月预提本财年1-6月补缴福利</t>
  </si>
  <si>
    <t>7月预提本财年7-12月补缴福利</t>
  </si>
  <si>
    <t>本财年7-12月实际7月补缴福利</t>
  </si>
  <si>
    <t>8月薪资</t>
  </si>
  <si>
    <t>8月福利</t>
  </si>
  <si>
    <t>8月HC</t>
  </si>
  <si>
    <t>8月上财年补缴福利</t>
  </si>
  <si>
    <t>8月预提本财年1-6月补缴福利</t>
  </si>
  <si>
    <t>8月预提本财年7-12月补缴福利</t>
  </si>
  <si>
    <t>本财年7-12月实际8月补缴福利</t>
  </si>
  <si>
    <t>9月薪资</t>
  </si>
  <si>
    <t>9月福利</t>
  </si>
  <si>
    <t>9月HC</t>
  </si>
  <si>
    <t>9月上财年补缴福利</t>
  </si>
  <si>
    <t>9月预提本财年1-6月补缴福利</t>
  </si>
  <si>
    <t>9月预提本财年7-12月补缴福利</t>
  </si>
  <si>
    <t>本财年7-12月实际9月补缴福利</t>
  </si>
  <si>
    <t>10月薪资</t>
  </si>
  <si>
    <t>10月福利</t>
  </si>
  <si>
    <t>10月HC</t>
  </si>
  <si>
    <t>10月上财年补缴福利</t>
  </si>
  <si>
    <t>10月预提本财年1-6月补缴福利</t>
  </si>
  <si>
    <t>10月预提本财年7-12月补缴福利</t>
  </si>
  <si>
    <t>本财年7-12月实际10月补缴福利</t>
  </si>
  <si>
    <t>11月薪资</t>
  </si>
  <si>
    <t>11月福利</t>
  </si>
  <si>
    <t>11月HC</t>
  </si>
  <si>
    <t>11月上财年补缴福利</t>
  </si>
  <si>
    <t>11月预提本财年1-6月补缴福利</t>
  </si>
  <si>
    <t>11月预提本财年7-12月补缴福利</t>
  </si>
  <si>
    <t>本财年7-12月实际11月补缴福利</t>
  </si>
  <si>
    <t>12月薪资</t>
  </si>
  <si>
    <t>12月福利</t>
  </si>
  <si>
    <t>12月HC</t>
  </si>
  <si>
    <t>12月上财年补缴福利</t>
  </si>
  <si>
    <t>12月预提本财年1-6月补缴福利</t>
  </si>
  <si>
    <t>12月预提本财年7-12月补缴福利</t>
  </si>
  <si>
    <t>本财年7-12月实际12月补缴福利</t>
  </si>
  <si>
    <t>1月薪资</t>
  </si>
  <si>
    <t>1月福利</t>
  </si>
  <si>
    <t>1月HC</t>
  </si>
  <si>
    <t>1月上财年补缴福利</t>
  </si>
  <si>
    <t>1月预提本财年1-6月补缴福利</t>
  </si>
  <si>
    <t>2月薪资</t>
  </si>
  <si>
    <t>2月福利</t>
  </si>
  <si>
    <t>2月HC</t>
  </si>
  <si>
    <t>2月上财年补缴福利</t>
  </si>
  <si>
    <t>2月预提本财年1-6月补缴福利</t>
  </si>
  <si>
    <t>3月薪资</t>
  </si>
  <si>
    <t>3月福利</t>
  </si>
  <si>
    <t>3月HC</t>
  </si>
  <si>
    <t>3月上财年补缴福利</t>
  </si>
  <si>
    <t>3月预提本财年1-6月补缴福利</t>
  </si>
  <si>
    <t>4月薪资</t>
  </si>
  <si>
    <t>4月福利</t>
  </si>
  <si>
    <t>4月HC</t>
  </si>
  <si>
    <t>4月上财年补缴福利</t>
  </si>
  <si>
    <t>4月预提本财年1-6月补缴福利</t>
  </si>
  <si>
    <t>5月薪资</t>
  </si>
  <si>
    <t>5月福利</t>
  </si>
  <si>
    <t>5月HC</t>
  </si>
  <si>
    <t>5月上财年补缴福利</t>
  </si>
  <si>
    <t>5月预提本财年1-6月补缴福利</t>
  </si>
  <si>
    <t>6月薪资</t>
  </si>
  <si>
    <t>6月福利</t>
  </si>
  <si>
    <t>6月HC</t>
  </si>
  <si>
    <t>6月上财年补缴福利</t>
  </si>
  <si>
    <t>6月预提本财年1-6月补缴福利</t>
  </si>
  <si>
    <t>特殊调整</t>
  </si>
  <si>
    <t>薪资合计</t>
  </si>
  <si>
    <t>福利合计</t>
  </si>
  <si>
    <t>HC平均值</t>
  </si>
  <si>
    <t>部门调整</t>
  </si>
  <si>
    <t>薪资Budget</t>
  </si>
  <si>
    <t>福利Budget</t>
  </si>
  <si>
    <t>薪资差异</t>
  </si>
  <si>
    <t>福利差异</t>
  </si>
  <si>
    <t>上财年补缴福利合计</t>
  </si>
  <si>
    <t>预提本财年1-6月补缴福利合计</t>
  </si>
  <si>
    <t>预提本财年7-12月补缴福利合计</t>
  </si>
  <si>
    <t>本财年7-12月实际补缴福利合计</t>
  </si>
  <si>
    <t>调整后薪资合计</t>
  </si>
  <si>
    <t>调整后福利合计</t>
  </si>
  <si>
    <t>FM</t>
  </si>
  <si>
    <t>FY2026</t>
  </si>
  <si>
    <t>杭州</t>
  </si>
  <si>
    <t>杭州银泰</t>
  </si>
  <si>
    <t>BA</t>
  </si>
  <si>
    <t>KLFMFY2021000003</t>
  </si>
  <si>
    <t>Existing</t>
  </si>
  <si>
    <t>DS</t>
  </si>
  <si>
    <t>X</t>
  </si>
  <si>
    <t>Tier I cities</t>
  </si>
  <si>
    <t>北京</t>
  </si>
  <si>
    <t>北京新光三越</t>
  </si>
  <si>
    <t>KLFMFY2021000002</t>
  </si>
  <si>
    <t>IN77银泰</t>
  </si>
  <si>
    <t>KLFMFY2021000004</t>
  </si>
  <si>
    <t>宁波</t>
  </si>
  <si>
    <t>宁波阪急-498</t>
  </si>
  <si>
    <t>KLFMFY2023000026</t>
  </si>
  <si>
    <t>Tier II cities +</t>
  </si>
  <si>
    <t>上海</t>
  </si>
  <si>
    <t>上海国金中心</t>
  </si>
  <si>
    <t>Y</t>
  </si>
  <si>
    <t>KLFMFY2020000001</t>
  </si>
  <si>
    <t>FSS</t>
  </si>
  <si>
    <t>杭州万象城</t>
  </si>
  <si>
    <t>KLFMFY2022000013</t>
  </si>
  <si>
    <t>广州</t>
  </si>
  <si>
    <t>广州太古汇</t>
  </si>
  <si>
    <t>KLFMFY2023000022</t>
  </si>
  <si>
    <t>成都</t>
  </si>
  <si>
    <t>成都远洋太古里</t>
  </si>
  <si>
    <t>KLFMFY2023000025</t>
  </si>
  <si>
    <t>成都SKP</t>
  </si>
  <si>
    <t>KLFMFY2023000024</t>
  </si>
  <si>
    <t>武汉</t>
  </si>
  <si>
    <t>武汉SKP</t>
  </si>
  <si>
    <t>KLFMFY2023000023</t>
  </si>
  <si>
    <t>重庆</t>
  </si>
  <si>
    <t>重庆星光68</t>
  </si>
  <si>
    <t>KLFMFY2024000012</t>
  </si>
  <si>
    <t>深圳</t>
  </si>
  <si>
    <t>深圳万象天地</t>
  </si>
  <si>
    <t>KLFMFY2022000011</t>
  </si>
  <si>
    <t>南京</t>
  </si>
  <si>
    <t>南京德基</t>
  </si>
  <si>
    <t>KLFMFY2022000010</t>
  </si>
  <si>
    <t>深圳罗湖万象城</t>
  </si>
  <si>
    <t>KLFMFY2022000012</t>
  </si>
  <si>
    <t>北京三里屯</t>
  </si>
  <si>
    <t>KLFMFY2022000016</t>
  </si>
  <si>
    <t>上海前滩太古里</t>
  </si>
  <si>
    <t>KLFMFY2022000015</t>
  </si>
  <si>
    <t>contingency 柜台</t>
  </si>
  <si>
    <t>KLFMFY2022000014</t>
  </si>
  <si>
    <t>Contingency</t>
  </si>
  <si>
    <t>郑州</t>
  </si>
  <si>
    <t>郑州大卫城</t>
  </si>
  <si>
    <t>KLFMFY2026000001</t>
  </si>
  <si>
    <t>FY26 New Door</t>
  </si>
  <si>
    <t>苏州</t>
  </si>
  <si>
    <t>苏州中心</t>
  </si>
  <si>
    <t>KLFMFY2026000002</t>
  </si>
  <si>
    <t>FY2026 新店3</t>
  </si>
  <si>
    <t>KLFMFY2026000003</t>
  </si>
  <si>
    <t>杭州In77KILIAN</t>
  </si>
  <si>
    <t>KLFMFY2026000005</t>
  </si>
  <si>
    <t>杭州In77FM</t>
  </si>
  <si>
    <t>KLFMFY2026000006</t>
  </si>
  <si>
    <t>合计：</t>
  </si>
  <si>
    <t>合计(BA)：</t>
  </si>
  <si>
    <t>合计(NON BA)：</t>
  </si>
  <si>
    <t>预算：</t>
  </si>
  <si>
    <t>差异：</t>
  </si>
  <si>
    <t>Finance Total：</t>
  </si>
  <si>
    <t>差异(预算-Finance Total)：</t>
  </si>
  <si>
    <t>当月折扣(BA)：</t>
  </si>
  <si>
    <t>当月折扣(NON BA)：</t>
  </si>
  <si>
    <t>预算BA比例：</t>
  </si>
  <si>
    <t>薪资98.00%，福利93.40%</t>
  </si>
  <si>
    <t>预算NONBA比例：</t>
  </si>
  <si>
    <t>薪资100.00%，福利100.00%</t>
  </si>
  <si>
    <t>财年rolling本月比例调整(BA)：</t>
  </si>
  <si>
    <t>薪资96.00%，福利93.80%</t>
  </si>
  <si>
    <t>财年rolling本月比例调整(NON BA)：</t>
  </si>
  <si>
    <t>财年rolling最新预测比例调整:</t>
  </si>
  <si>
    <t>薪资XX.XX%，福利XX.XX%</t>
  </si>
  <si>
    <t>扣除离职仍发薪员工数据：</t>
  </si>
  <si>
    <t>Kilian</t>
  </si>
  <si>
    <t>本月补发薪资：0</t>
  </si>
  <si>
    <t>本月补发福利：0</t>
  </si>
  <si>
    <t>本月补发加班费：0</t>
  </si>
  <si>
    <t>HC：0</t>
  </si>
  <si>
    <t>标黄的是我们需要拆的</t>
  </si>
  <si>
    <t>KL</t>
  </si>
  <si>
    <r>
      <t>合计：</t>
    </r>
    <r>
      <rPr>
        <sz val="10"/>
        <color rgb="FFFF0000"/>
        <rFont val="Aptos Narrow (Body)"/>
      </rPr>
      <t>(给财务看的字段,表格内有的字段才会有合计数据）</t>
    </r>
  </si>
  <si>
    <t>计算3-6月的合计</t>
  </si>
  <si>
    <t>Kilian</t>
    <phoneticPr fontId="24" type="noConversion"/>
  </si>
  <si>
    <t>合计：(给财务看的字段,表格内有的字段才会有合计数据）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</si>
</sst>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#0.0"/>
  </numFmts>
  <fonts count="25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8"/>
      <color theme="3"/>
      <name val="等线 Light"/>
      <family val="2"/>
      <charset val="134"/>
      <scheme val="major"/>
    </font>
    <font>
      <b/>
      <sz val="15"/>
      <color theme="3"/>
      <name val="等线"/>
      <family val="2"/>
      <charset val="134"/>
      <scheme val="minor"/>
    </font>
    <font>
      <b/>
      <sz val="13"/>
      <color theme="3"/>
      <name val="等线"/>
      <family val="2"/>
      <charset val="134"/>
      <scheme val="minor"/>
    </font>
    <font>
      <b/>
      <sz val="11"/>
      <color theme="3"/>
      <name val="等线"/>
      <family val="2"/>
      <charset val="134"/>
      <scheme val="minor"/>
    </font>
    <font>
      <sz val="11"/>
      <color rgb="FF006100"/>
      <name val="等线"/>
      <family val="2"/>
      <charset val="134"/>
      <scheme val="minor"/>
    </font>
    <font>
      <sz val="11"/>
      <color rgb="FF9C0006"/>
      <name val="等线"/>
      <family val="2"/>
      <charset val="134"/>
      <scheme val="minor"/>
    </font>
    <font>
      <sz val="11"/>
      <color rgb="FF9C5700"/>
      <name val="等线"/>
      <family val="2"/>
      <charset val="134"/>
      <scheme val="minor"/>
    </font>
    <font>
      <sz val="11"/>
      <color rgb="FF3F3F76"/>
      <name val="等线"/>
      <family val="2"/>
      <charset val="134"/>
      <scheme val="minor"/>
    </font>
    <font>
      <b/>
      <sz val="11"/>
      <color rgb="FF3F3F3F"/>
      <name val="等线"/>
      <family val="2"/>
      <charset val="134"/>
      <scheme val="minor"/>
    </font>
    <font>
      <b/>
      <sz val="11"/>
      <color rgb="FFFA7D00"/>
      <name val="等线"/>
      <family val="2"/>
      <charset val="134"/>
      <scheme val="minor"/>
    </font>
    <font>
      <sz val="11"/>
      <color rgb="FFFA7D00"/>
      <name val="等线"/>
      <family val="2"/>
      <charset val="134"/>
      <scheme val="minor"/>
    </font>
    <font>
      <b/>
      <sz val="11"/>
      <color theme="0"/>
      <name val="等线"/>
      <family val="2"/>
      <charset val="134"/>
      <scheme val="minor"/>
    </font>
    <font>
      <sz val="11"/>
      <color rgb="FFFF0000"/>
      <name val="等线"/>
      <family val="2"/>
      <charset val="134"/>
      <scheme val="minor"/>
    </font>
    <font>
      <i/>
      <sz val="11"/>
      <color rgb="FF7F7F7F"/>
      <name val="等线"/>
      <family val="2"/>
      <charset val="134"/>
      <scheme val="minor"/>
    </font>
    <font>
      <b/>
      <sz val="11"/>
      <color theme="1"/>
      <name val="等线"/>
      <family val="2"/>
      <charset val="134"/>
      <scheme val="minor"/>
    </font>
    <font>
      <sz val="11"/>
      <color theme="0"/>
      <name val="等线"/>
      <family val="2"/>
      <charset val="134"/>
      <scheme val="minor"/>
    </font>
    <font>
      <b/>
      <sz val="11"/>
      <color rgb="FFF7F7F7"/>
      <name val="等线"/>
      <family val="2"/>
      <charset val="134"/>
      <scheme val="minor"/>
    </font>
    <font>
      <b/>
      <sz val="10"/>
      <color rgb="FFF7F7F7"/>
      <name val="等线"/>
      <family val="2"/>
      <scheme val="minor"/>
    </font>
    <font>
      <sz val="11"/>
      <color rgb="FF4A3C8C"/>
      <name val="等线"/>
      <family val="2"/>
      <charset val="134"/>
      <scheme val="minor"/>
    </font>
    <font>
      <sz val="10"/>
      <color rgb="FF4A3C8C"/>
      <name val="等线"/>
      <family val="2"/>
      <scheme val="minor"/>
    </font>
    <font>
      <sz val="10"/>
      <color rgb="FFFF0000"/>
      <name val="等线"/>
      <family val="2"/>
      <scheme val="minor"/>
    </font>
    <font>
      <sz val="10"/>
      <color rgb="FFFF0000"/>
      <name val="Aptos Narrow (Body)"/>
    </font>
    <font>
      <sz val="9"/>
      <name val="等线"/>
      <family val="2"/>
      <charset val="134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4A3C8C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7F7F7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9">
    <xf numFmtId="0" fontId="0" fillId="0" borderId="0" xfId="0"/>
    <xf numFmtId="0" fontId="18" fillId="33" borderId="0" xfId="0" applyFont="1" applyFill="1"/>
    <xf numFmtId="0" fontId="19" fillId="33" borderId="0" xfId="0" applyFont="1" applyFill="1" applyAlignment="1">
      <alignment horizontal="center" vertical="center"/>
    </xf>
    <xf numFmtId="0" fontId="19" fillId="33" borderId="0" xfId="0" applyFont="1" applyFill="1" applyAlignment="1">
      <alignment horizontal="right" vertical="center"/>
    </xf>
    <xf numFmtId="0" fontId="20" fillId="34" borderId="0" xfId="0" applyFont="1" applyFill="1"/>
    <xf numFmtId="0" fontId="21" fillId="34" borderId="0" xfId="0" applyFont="1" applyFill="1"/>
    <xf numFmtId="4" fontId="21" fillId="34" borderId="0" xfId="0" applyNumberFormat="1" applyFont="1" applyFill="1"/>
    <xf numFmtId="14" fontId="21" fillId="34" borderId="0" xfId="0" applyNumberFormat="1" applyFont="1" applyFill="1"/>
    <xf numFmtId="4" fontId="21" fillId="34" borderId="0" xfId="0" applyNumberFormat="1" applyFont="1" applyFill="1" applyAlignment="1">
      <alignment horizontal="right"/>
    </xf>
    <xf numFmtId="176" fontId="21" fillId="34" borderId="0" xfId="0" applyNumberFormat="1" applyFont="1" applyFill="1" applyAlignment="1">
      <alignment horizontal="right"/>
    </xf>
    <xf numFmtId="0" fontId="20" fillId="35" borderId="0" xfId="0" applyFont="1" applyFill="1"/>
    <xf numFmtId="0" fontId="21" fillId="35" borderId="0" xfId="0" applyFont="1" applyFill="1"/>
    <xf numFmtId="4" fontId="21" fillId="35" borderId="0" xfId="0" applyNumberFormat="1" applyFont="1" applyFill="1"/>
    <xf numFmtId="14" fontId="21" fillId="35" borderId="0" xfId="0" applyNumberFormat="1" applyFont="1" applyFill="1"/>
    <xf numFmtId="4" fontId="21" fillId="35" borderId="0" xfId="0" applyNumberFormat="1" applyFont="1" applyFill="1" applyAlignment="1">
      <alignment horizontal="right"/>
    </xf>
    <xf numFmtId="176" fontId="21" fillId="35" borderId="0" xfId="0" applyNumberFormat="1" applyFont="1" applyFill="1" applyAlignment="1">
      <alignment horizontal="right"/>
    </xf>
    <xf numFmtId="0" fontId="21" fillId="34" borderId="0" xfId="0" applyFont="1" applyFill="1" applyAlignment="1">
      <alignment horizontal="right"/>
    </xf>
    <xf numFmtId="0" fontId="21" fillId="35" borderId="0" xfId="0" applyFont="1" applyFill="1" applyAlignment="1">
      <alignment horizontal="right"/>
    </xf>
    <xf numFmtId="0" fontId="21" fillId="36" borderId="0" xfId="0" applyFont="1" applyFill="1"/>
    <xf numFmtId="4" fontId="0" fillId="0" borderId="0" xfId="0" applyNumberFormat="1"/>
    <xf numFmtId="9" fontId="0" fillId="0" borderId="0" xfId="0" applyNumberFormat="1"/>
    <xf numFmtId="10" fontId="0" fillId="0" borderId="0" xfId="0" applyNumberFormat="1"/>
    <xf numFmtId="0" fontId="22" fillId="34" borderId="0" xfId="0" applyFont="1" applyFill="1"/>
    <xf numFmtId="0" fontId="22" fillId="37" borderId="0" xfId="0" applyFont="1" applyFill="1"/>
    <xf numFmtId="9" fontId="20" fillId="34" borderId="0" xfId="0" applyNumberFormat="1" applyFont="1" applyFill="1"/>
    <xf numFmtId="9" fontId="20" fillId="35" borderId="0" xfId="0" applyNumberFormat="1" applyFont="1" applyFill="1"/>
    <xf numFmtId="0" fontId="21" fillId="34" borderId="0" xfId="0" applyFont="1" applyFill="1" applyAlignment="1">
      <alignment wrapText="1"/>
    </xf>
    <xf numFmtId="0" fontId="22" fillId="35" borderId="0" xfId="0" applyFont="1" applyFill="1"/>
    <xf numFmtId="0" fontId="0" fillId="0" borderId="0" xfId="0" applyAlignment="1">
      <alignment horizontal="center"/>
    </xf>
  </cellXfs>
  <cellStyles count="42">
    <cellStyle name="20% - 着色 1" xfId="19" builtinId="30" customBuiltin="1"/>
    <cellStyle name="20% - 着色 2" xfId="23" builtinId="34" customBuiltin="1"/>
    <cellStyle name="20% - 着色 3" xfId="27" builtinId="38" customBuiltin="1"/>
    <cellStyle name="20% - 着色 4" xfId="31" builtinId="42" customBuiltin="1"/>
    <cellStyle name="20% - 着色 5" xfId="35" builtinId="46" customBuiltin="1"/>
    <cellStyle name="20% - 着色 6" xfId="39" builtinId="50" customBuiltin="1"/>
    <cellStyle name="40% - 着色 1" xfId="20" builtinId="31" customBuiltin="1"/>
    <cellStyle name="40% - 着色 2" xfId="24" builtinId="35" customBuiltin="1"/>
    <cellStyle name="40% - 着色 3" xfId="28" builtinId="39" customBuiltin="1"/>
    <cellStyle name="40% - 着色 4" xfId="32" builtinId="43" customBuiltin="1"/>
    <cellStyle name="40% - 着色 5" xfId="36" builtinId="47" customBuiltin="1"/>
    <cellStyle name="40% - 着色 6" xfId="40" builtinId="51" customBuiltin="1"/>
    <cellStyle name="60% - 着色 1" xfId="21" builtinId="32" customBuiltin="1"/>
    <cellStyle name="60% - 着色 2" xfId="25" builtinId="36" customBuiltin="1"/>
    <cellStyle name="60% - 着色 3" xfId="29" builtinId="40" customBuiltin="1"/>
    <cellStyle name="60% - 着色 4" xfId="33" builtinId="44" customBuiltin="1"/>
    <cellStyle name="60% - 着色 5" xfId="37" builtinId="48" customBuiltin="1"/>
    <cellStyle name="60% - 着色 6" xfId="41" builtinId="52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适中" xfId="8" builtinId="28" customBuiltin="1"/>
    <cellStyle name="输出" xfId="10" builtinId="21" customBuiltin="1"/>
    <cellStyle name="输入" xfId="9" builtinId="20" customBuiltin="1"/>
    <cellStyle name="着色 1" xfId="18" builtinId="29" customBuiltin="1"/>
    <cellStyle name="着色 2" xfId="22" builtinId="33" customBuiltin="1"/>
    <cellStyle name="着色 3" xfId="26" builtinId="37" customBuiltin="1"/>
    <cellStyle name="着色 4" xfId="30" builtinId="41" customBuiltin="1"/>
    <cellStyle name="着色 5" xfId="34" builtinId="45" customBuiltin="1"/>
    <cellStyle name="着色 6" xfId="38" builtinId="49" customBuiltin="1"/>
    <cellStyle name="注释" xfId="15" builtinId="1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127000</xdr:colOff>
          <xdr:row>0</xdr:row>
          <xdr:rowOff>63500</xdr:rowOff>
        </xdr:from>
        <xdr:to>
          <xdr:col>1</xdr:col>
          <xdr:colOff>514350</xdr:colOff>
          <xdr:row>0</xdr:row>
          <xdr:rowOff>400050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分组求合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5CFFEA-2028-4FE4-B8D1-2A0F1CC975E7}">
  <sheetPr codeName="Sheet1"/>
  <dimension ref="A1:DC43"/>
  <sheetViews>
    <sheetView showGridLines="0" tabSelected="1" zoomScale="130" zoomScaleNormal="130" workbookViewId="0">
      <pane xSplit="6" ySplit="3" topLeftCell="H18" activePane="bottomRight" state="frozen"/>
      <selection pane="topRight" activeCell="E1" sqref="E1"/>
      <selection pane="bottomLeft" activeCell="A3" sqref="A3"/>
      <selection pane="bottomRight" activeCell="D25" sqref="D25"/>
    </sheetView>
  </sheetViews>
  <sheetFormatPr defaultColWidth="8.83203125" defaultRowHeight="14"/>
  <cols>
    <col min="1" max="1" width="6.6640625" customWidth="1"/>
    <col min="2" max="2" width="8.6640625" customWidth="1"/>
    <col min="3" max="3" width="4.25" customWidth="1"/>
    <col min="4" max="4" width="31.6640625" bestFit="1" customWidth="1"/>
    <col min="5" max="5" width="5.1640625" bestFit="1" customWidth="1"/>
    <col min="6" max="6" width="31.33203125" customWidth="1"/>
    <col min="7" max="7" width="25.1640625" bestFit="1" customWidth="1"/>
    <col min="8" max="8" width="25.6640625" bestFit="1" customWidth="1"/>
    <col min="9" max="9" width="17" bestFit="1" customWidth="1"/>
    <col min="10" max="10" width="9.33203125" bestFit="1" customWidth="1"/>
    <col min="11" max="12" width="17" bestFit="1" customWidth="1"/>
    <col min="13" max="13" width="12.5" bestFit="1" customWidth="1"/>
    <col min="14" max="14" width="11.5" bestFit="1" customWidth="1"/>
    <col min="15" max="16" width="10.6640625" bestFit="1" customWidth="1"/>
    <col min="17" max="18" width="9.33203125" bestFit="1" customWidth="1"/>
    <col min="19" max="19" width="10.1640625" bestFit="1" customWidth="1"/>
    <col min="20" max="20" width="8.5" bestFit="1" customWidth="1"/>
    <col min="21" max="22" width="9.83203125" bestFit="1" customWidth="1"/>
    <col min="23" max="23" width="6.33203125" bestFit="1" customWidth="1"/>
    <col min="24" max="24" width="18.83203125" bestFit="1" customWidth="1"/>
    <col min="25" max="25" width="27.83203125" bestFit="1" customWidth="1"/>
    <col min="26" max="27" width="28.83203125" bestFit="1" customWidth="1"/>
    <col min="28" max="29" width="9.83203125" bestFit="1" customWidth="1"/>
    <col min="30" max="30" width="6.33203125" bestFit="1" customWidth="1"/>
    <col min="31" max="31" width="18.83203125" bestFit="1" customWidth="1"/>
    <col min="32" max="32" width="27.83203125" bestFit="1" customWidth="1"/>
    <col min="33" max="34" width="28.83203125" bestFit="1" customWidth="1"/>
    <col min="35" max="36" width="9.83203125" bestFit="1" customWidth="1"/>
    <col min="37" max="37" width="6.33203125" bestFit="1" customWidth="1"/>
    <col min="38" max="38" width="18.83203125" bestFit="1" customWidth="1"/>
    <col min="39" max="39" width="27.83203125" bestFit="1" customWidth="1"/>
    <col min="40" max="41" width="28.83203125" bestFit="1" customWidth="1"/>
    <col min="42" max="43" width="9.83203125" bestFit="1" customWidth="1"/>
    <col min="44" max="44" width="7.33203125" bestFit="1" customWidth="1"/>
    <col min="45" max="45" width="19.83203125" bestFit="1" customWidth="1"/>
    <col min="46" max="46" width="28.83203125" bestFit="1" customWidth="1"/>
    <col min="47" max="48" width="29.83203125" bestFit="1" customWidth="1"/>
    <col min="49" max="50" width="9.83203125" bestFit="1" customWidth="1"/>
    <col min="51" max="51" width="7.33203125" bestFit="1" customWidth="1"/>
    <col min="52" max="52" width="19.83203125" bestFit="1" customWidth="1"/>
    <col min="53" max="53" width="28.83203125" bestFit="1" customWidth="1"/>
    <col min="54" max="55" width="29.83203125" bestFit="1" customWidth="1"/>
    <col min="56" max="57" width="9.83203125" bestFit="1" customWidth="1"/>
    <col min="58" max="58" width="7.33203125" bestFit="1" customWidth="1"/>
    <col min="59" max="59" width="19.83203125" bestFit="1" customWidth="1"/>
    <col min="60" max="60" width="28.83203125" bestFit="1" customWidth="1"/>
    <col min="61" max="62" width="29.83203125" bestFit="1" customWidth="1"/>
    <col min="63" max="64" width="9.83203125" bestFit="1" customWidth="1"/>
    <col min="65" max="65" width="6.33203125" bestFit="1" customWidth="1"/>
    <col min="66" max="66" width="18.83203125" bestFit="1" customWidth="1"/>
    <col min="67" max="67" width="27.83203125" bestFit="1" customWidth="1"/>
    <col min="68" max="69" width="9.83203125" bestFit="1" customWidth="1"/>
    <col min="70" max="70" width="6.33203125" bestFit="1" customWidth="1"/>
    <col min="71" max="71" width="18.83203125" bestFit="1" customWidth="1"/>
    <col min="72" max="72" width="27.83203125" bestFit="1" customWidth="1"/>
    <col min="73" max="74" width="9.83203125" bestFit="1" customWidth="1"/>
    <col min="75" max="75" width="6.5" bestFit="1" customWidth="1"/>
    <col min="76" max="76" width="18.83203125" bestFit="1" customWidth="1"/>
    <col min="77" max="77" width="27.83203125" bestFit="1" customWidth="1"/>
    <col min="78" max="79" width="9.83203125" bestFit="1" customWidth="1"/>
    <col min="80" max="80" width="6.5" bestFit="1" customWidth="1"/>
    <col min="81" max="81" width="18.83203125" bestFit="1" customWidth="1"/>
    <col min="82" max="82" width="27.83203125" bestFit="1" customWidth="1"/>
    <col min="83" max="84" width="9.83203125" bestFit="1" customWidth="1"/>
    <col min="85" max="85" width="6.5" bestFit="1" customWidth="1"/>
    <col min="86" max="86" width="18.83203125" bestFit="1" customWidth="1"/>
    <col min="87" max="87" width="27.83203125" bestFit="1" customWidth="1"/>
    <col min="88" max="89" width="9.83203125" bestFit="1" customWidth="1"/>
    <col min="90" max="90" width="6.5" bestFit="1" customWidth="1"/>
    <col min="91" max="91" width="18.83203125" bestFit="1" customWidth="1"/>
    <col min="92" max="92" width="27.83203125" bestFit="1" customWidth="1"/>
    <col min="93" max="93" width="9.33203125" bestFit="1" customWidth="1"/>
    <col min="94" max="94" width="11.83203125" bestFit="1" customWidth="1"/>
    <col min="95" max="95" width="11.33203125" bestFit="1" customWidth="1"/>
    <col min="96" max="96" width="9.5" bestFit="1" customWidth="1"/>
    <col min="97" max="97" width="9.33203125" bestFit="1" customWidth="1"/>
    <col min="98" max="99" width="11.33203125" bestFit="1" customWidth="1"/>
    <col min="100" max="101" width="11.83203125" bestFit="1" customWidth="1"/>
    <col min="102" max="102" width="20" bestFit="1" customWidth="1"/>
    <col min="103" max="103" width="29" bestFit="1" customWidth="1"/>
    <col min="104" max="105" width="30" bestFit="1" customWidth="1"/>
    <col min="106" max="107" width="15.6640625" bestFit="1" customWidth="1"/>
  </cols>
  <sheetData>
    <row r="1" spans="1:107" ht="38" customHeight="1">
      <c r="A1" s="28"/>
      <c r="B1" s="28"/>
    </row>
    <row r="2" spans="1:107" s="1" customFormat="1">
      <c r="A2" s="1" t="s">
        <v>198</v>
      </c>
      <c r="B2" s="1" t="s">
        <v>105</v>
      </c>
      <c r="C2" s="2" t="s">
        <v>0</v>
      </c>
      <c r="D2" s="2" t="s">
        <v>1</v>
      </c>
      <c r="E2" s="2" t="s">
        <v>2</v>
      </c>
      <c r="F2" s="2" t="s">
        <v>3</v>
      </c>
      <c r="G2" s="2" t="s">
        <v>4</v>
      </c>
      <c r="H2" s="2" t="s">
        <v>5</v>
      </c>
      <c r="I2" s="2" t="s">
        <v>6</v>
      </c>
      <c r="J2" s="2" t="s">
        <v>7</v>
      </c>
      <c r="K2" s="2" t="s">
        <v>8</v>
      </c>
      <c r="L2" s="2" t="s">
        <v>9</v>
      </c>
      <c r="M2" s="2" t="s">
        <v>10</v>
      </c>
      <c r="N2" s="2" t="s">
        <v>11</v>
      </c>
      <c r="O2" s="2" t="s">
        <v>12</v>
      </c>
      <c r="P2" s="2" t="s">
        <v>13</v>
      </c>
      <c r="Q2" s="2" t="s">
        <v>14</v>
      </c>
      <c r="R2" s="2" t="s">
        <v>15</v>
      </c>
      <c r="S2" s="3" t="s">
        <v>16</v>
      </c>
      <c r="T2" s="3" t="s">
        <v>17</v>
      </c>
      <c r="U2" s="3" t="s">
        <v>18</v>
      </c>
      <c r="V2" s="3" t="s">
        <v>19</v>
      </c>
      <c r="W2" s="3" t="s">
        <v>20</v>
      </c>
      <c r="X2" s="3" t="s">
        <v>21</v>
      </c>
      <c r="Y2" s="3" t="s">
        <v>22</v>
      </c>
      <c r="Z2" s="3" t="s">
        <v>23</v>
      </c>
      <c r="AA2" s="3" t="s">
        <v>24</v>
      </c>
      <c r="AB2" s="3" t="s">
        <v>25</v>
      </c>
      <c r="AC2" s="3" t="s">
        <v>26</v>
      </c>
      <c r="AD2" s="3" t="s">
        <v>27</v>
      </c>
      <c r="AE2" s="3" t="s">
        <v>28</v>
      </c>
      <c r="AF2" s="3" t="s">
        <v>29</v>
      </c>
      <c r="AG2" s="3" t="s">
        <v>30</v>
      </c>
      <c r="AH2" s="3" t="s">
        <v>31</v>
      </c>
      <c r="AI2" s="3" t="s">
        <v>32</v>
      </c>
      <c r="AJ2" s="3" t="s">
        <v>33</v>
      </c>
      <c r="AK2" s="3" t="s">
        <v>34</v>
      </c>
      <c r="AL2" s="3" t="s">
        <v>35</v>
      </c>
      <c r="AM2" s="3" t="s">
        <v>36</v>
      </c>
      <c r="AN2" s="3" t="s">
        <v>37</v>
      </c>
      <c r="AO2" s="3" t="s">
        <v>38</v>
      </c>
      <c r="AP2" s="3" t="s">
        <v>39</v>
      </c>
      <c r="AQ2" s="3" t="s">
        <v>40</v>
      </c>
      <c r="AR2" s="3" t="s">
        <v>41</v>
      </c>
      <c r="AS2" s="3" t="s">
        <v>42</v>
      </c>
      <c r="AT2" s="3" t="s">
        <v>43</v>
      </c>
      <c r="AU2" s="3" t="s">
        <v>44</v>
      </c>
      <c r="AV2" s="3" t="s">
        <v>45</v>
      </c>
      <c r="AW2" s="3" t="s">
        <v>46</v>
      </c>
      <c r="AX2" s="3" t="s">
        <v>47</v>
      </c>
      <c r="AY2" s="3" t="s">
        <v>48</v>
      </c>
      <c r="AZ2" s="3" t="s">
        <v>49</v>
      </c>
      <c r="BA2" s="3" t="s">
        <v>50</v>
      </c>
      <c r="BB2" s="3" t="s">
        <v>51</v>
      </c>
      <c r="BC2" s="3" t="s">
        <v>52</v>
      </c>
      <c r="BD2" s="3" t="s">
        <v>53</v>
      </c>
      <c r="BE2" s="3" t="s">
        <v>54</v>
      </c>
      <c r="BF2" s="3" t="s">
        <v>55</v>
      </c>
      <c r="BG2" s="3" t="s">
        <v>56</v>
      </c>
      <c r="BH2" s="3" t="s">
        <v>57</v>
      </c>
      <c r="BI2" s="3" t="s">
        <v>58</v>
      </c>
      <c r="BJ2" s="3" t="s">
        <v>59</v>
      </c>
      <c r="BK2" s="3" t="s">
        <v>60</v>
      </c>
      <c r="BL2" s="3" t="s">
        <v>61</v>
      </c>
      <c r="BM2" s="3" t="s">
        <v>62</v>
      </c>
      <c r="BN2" s="3" t="s">
        <v>63</v>
      </c>
      <c r="BO2" s="3" t="s">
        <v>64</v>
      </c>
      <c r="BP2" s="3" t="s">
        <v>65</v>
      </c>
      <c r="BQ2" s="3" t="s">
        <v>66</v>
      </c>
      <c r="BR2" s="3" t="s">
        <v>67</v>
      </c>
      <c r="BS2" s="3" t="s">
        <v>68</v>
      </c>
      <c r="BT2" s="3" t="s">
        <v>69</v>
      </c>
      <c r="BU2" s="3" t="s">
        <v>70</v>
      </c>
      <c r="BV2" s="3" t="s">
        <v>71</v>
      </c>
      <c r="BW2" s="3" t="s">
        <v>72</v>
      </c>
      <c r="BX2" s="3" t="s">
        <v>73</v>
      </c>
      <c r="BY2" s="3" t="s">
        <v>74</v>
      </c>
      <c r="BZ2" s="3" t="s">
        <v>75</v>
      </c>
      <c r="CA2" s="3" t="s">
        <v>76</v>
      </c>
      <c r="CB2" s="3" t="s">
        <v>77</v>
      </c>
      <c r="CC2" s="3" t="s">
        <v>78</v>
      </c>
      <c r="CD2" s="3" t="s">
        <v>79</v>
      </c>
      <c r="CE2" s="3" t="s">
        <v>80</v>
      </c>
      <c r="CF2" s="3" t="s">
        <v>81</v>
      </c>
      <c r="CG2" s="3" t="s">
        <v>82</v>
      </c>
      <c r="CH2" s="3" t="s">
        <v>83</v>
      </c>
      <c r="CI2" s="3" t="s">
        <v>84</v>
      </c>
      <c r="CJ2" s="3" t="s">
        <v>85</v>
      </c>
      <c r="CK2" s="3" t="s">
        <v>86</v>
      </c>
      <c r="CL2" s="3" t="s">
        <v>87</v>
      </c>
      <c r="CM2" s="3" t="s">
        <v>88</v>
      </c>
      <c r="CN2" s="3" t="s">
        <v>89</v>
      </c>
      <c r="CO2" s="3" t="s">
        <v>90</v>
      </c>
      <c r="CP2" s="3" t="s">
        <v>91</v>
      </c>
      <c r="CQ2" s="3" t="s">
        <v>92</v>
      </c>
      <c r="CR2" s="3" t="s">
        <v>93</v>
      </c>
      <c r="CS2" s="3" t="s">
        <v>94</v>
      </c>
      <c r="CT2" s="3" t="s">
        <v>95</v>
      </c>
      <c r="CU2" s="3" t="s">
        <v>96</v>
      </c>
      <c r="CV2" s="3" t="s">
        <v>97</v>
      </c>
      <c r="CW2" s="3" t="s">
        <v>98</v>
      </c>
      <c r="CX2" s="3" t="s">
        <v>99</v>
      </c>
      <c r="CY2" s="3" t="s">
        <v>100</v>
      </c>
      <c r="CZ2" s="3" t="s">
        <v>101</v>
      </c>
      <c r="DA2" s="3" t="s">
        <v>102</v>
      </c>
      <c r="DB2" s="3" t="s">
        <v>103</v>
      </c>
      <c r="DC2" s="3" t="s">
        <v>104</v>
      </c>
    </row>
    <row r="3" spans="1:107" s="4" customFormat="1">
      <c r="C3" s="5" t="s">
        <v>105</v>
      </c>
      <c r="D3" s="5" t="s">
        <v>106</v>
      </c>
      <c r="E3" s="5" t="s">
        <v>107</v>
      </c>
      <c r="F3" s="5" t="s">
        <v>108</v>
      </c>
      <c r="G3" s="5"/>
      <c r="H3" s="5">
        <v>129855</v>
      </c>
      <c r="I3" s="5">
        <v>5841813202</v>
      </c>
      <c r="J3" s="5" t="s">
        <v>109</v>
      </c>
      <c r="K3" s="5" t="s">
        <v>110</v>
      </c>
      <c r="L3" s="5" t="s">
        <v>110</v>
      </c>
      <c r="M3" s="5" t="s">
        <v>111</v>
      </c>
      <c r="N3" s="5" t="s">
        <v>112</v>
      </c>
      <c r="O3" s="6" t="s">
        <v>113</v>
      </c>
      <c r="P3" s="6" t="s">
        <v>114</v>
      </c>
      <c r="Q3" s="7"/>
      <c r="R3" s="7"/>
      <c r="S3" s="8">
        <v>0</v>
      </c>
      <c r="T3" s="8">
        <v>0</v>
      </c>
      <c r="U3" s="8">
        <f>1000*W3</f>
        <v>3000</v>
      </c>
      <c r="V3" s="8">
        <f>1000*W3</f>
        <v>3000</v>
      </c>
      <c r="W3" s="8">
        <v>3</v>
      </c>
      <c r="X3" s="8">
        <v>0</v>
      </c>
      <c r="Y3" s="8">
        <v>0</v>
      </c>
      <c r="Z3" s="8">
        <v>0</v>
      </c>
      <c r="AA3" s="8">
        <v>0</v>
      </c>
      <c r="AB3" s="8">
        <f>1000*AD3</f>
        <v>5000</v>
      </c>
      <c r="AC3" s="8">
        <f>1000*AD3</f>
        <v>5000</v>
      </c>
      <c r="AD3" s="8">
        <v>5</v>
      </c>
      <c r="AE3" s="8">
        <v>0</v>
      </c>
      <c r="AF3" s="8">
        <v>0</v>
      </c>
      <c r="AG3" s="8">
        <v>0</v>
      </c>
      <c r="AH3" s="8">
        <v>0</v>
      </c>
      <c r="AI3" s="8">
        <f>1000*AK3</f>
        <v>3000</v>
      </c>
      <c r="AJ3" s="8">
        <f>1000*AK3</f>
        <v>3000</v>
      </c>
      <c r="AK3" s="8">
        <v>3</v>
      </c>
      <c r="AL3" s="8">
        <v>0</v>
      </c>
      <c r="AM3" s="8">
        <v>0</v>
      </c>
      <c r="AN3" s="8">
        <v>0</v>
      </c>
      <c r="AO3" s="8">
        <v>0</v>
      </c>
      <c r="AP3" s="8">
        <f>1000*AR3</f>
        <v>3000</v>
      </c>
      <c r="AQ3" s="8">
        <f>1000*AR3</f>
        <v>3000</v>
      </c>
      <c r="AR3" s="8">
        <v>3</v>
      </c>
      <c r="AS3" s="8">
        <v>0</v>
      </c>
      <c r="AT3" s="8">
        <v>0</v>
      </c>
      <c r="AU3" s="8">
        <v>0</v>
      </c>
      <c r="AV3" s="8">
        <v>0</v>
      </c>
      <c r="AW3" s="8">
        <f>1000*AY3</f>
        <v>3000</v>
      </c>
      <c r="AX3" s="8">
        <f>1000*AY3</f>
        <v>3000</v>
      </c>
      <c r="AY3" s="8">
        <v>3</v>
      </c>
      <c r="AZ3" s="8">
        <v>605.26</v>
      </c>
      <c r="BA3" s="8">
        <v>0</v>
      </c>
      <c r="BB3" s="8">
        <v>0</v>
      </c>
      <c r="BC3" s="8">
        <v>0</v>
      </c>
      <c r="BD3" s="8">
        <f>1000*BF3</f>
        <v>4000</v>
      </c>
      <c r="BE3" s="8">
        <f>1000*BF3</f>
        <v>4000</v>
      </c>
      <c r="BF3" s="8">
        <v>4</v>
      </c>
      <c r="BG3" s="8">
        <v>0</v>
      </c>
      <c r="BH3" s="8">
        <v>0</v>
      </c>
      <c r="BI3" s="8">
        <v>0</v>
      </c>
      <c r="BJ3" s="8">
        <v>0</v>
      </c>
      <c r="BK3" s="8">
        <f>1000*BM3</f>
        <v>4000</v>
      </c>
      <c r="BL3" s="8">
        <f>1000*BM3</f>
        <v>4000</v>
      </c>
      <c r="BM3" s="8">
        <v>4</v>
      </c>
      <c r="BN3" s="8">
        <v>0</v>
      </c>
      <c r="BO3" s="8">
        <v>0</v>
      </c>
      <c r="BP3" s="8">
        <f>1000*BR3</f>
        <v>2000</v>
      </c>
      <c r="BQ3" s="8">
        <f>1000*BR3</f>
        <v>2000</v>
      </c>
      <c r="BR3" s="8">
        <v>2</v>
      </c>
      <c r="BS3" s="8">
        <v>0</v>
      </c>
      <c r="BT3" s="8">
        <v>0</v>
      </c>
      <c r="BU3" s="8">
        <f>1000*BW3</f>
        <v>4000</v>
      </c>
      <c r="BV3" s="8">
        <f>1000*BW3</f>
        <v>4000</v>
      </c>
      <c r="BW3" s="8">
        <v>4</v>
      </c>
      <c r="BX3" s="8">
        <v>0</v>
      </c>
      <c r="BY3" s="8">
        <v>0</v>
      </c>
      <c r="BZ3" s="8">
        <f>1000*CB3</f>
        <v>4000</v>
      </c>
      <c r="CA3" s="8">
        <f>1000*CB3</f>
        <v>4000</v>
      </c>
      <c r="CB3" s="8">
        <v>4</v>
      </c>
      <c r="CC3" s="8">
        <v>0</v>
      </c>
      <c r="CD3" s="8">
        <v>0</v>
      </c>
      <c r="CE3" s="8">
        <f>1000*CG3</f>
        <v>4000</v>
      </c>
      <c r="CF3" s="8">
        <f>1000*CG3</f>
        <v>4000</v>
      </c>
      <c r="CG3" s="8">
        <v>4</v>
      </c>
      <c r="CH3" s="8">
        <v>0</v>
      </c>
      <c r="CI3" s="8">
        <v>0</v>
      </c>
      <c r="CJ3" s="8">
        <f>1000*CL3</f>
        <v>4000</v>
      </c>
      <c r="CK3" s="8">
        <f>1000*CL3</f>
        <v>4000</v>
      </c>
      <c r="CL3" s="8">
        <v>4</v>
      </c>
      <c r="CM3" s="8">
        <v>0</v>
      </c>
      <c r="CN3" s="8">
        <v>0</v>
      </c>
      <c r="CO3" s="8">
        <v>0</v>
      </c>
      <c r="CP3" s="9">
        <f>SUM(U3,AB3,AI3,AP3,AW3,BD3,BK3,BP3,BU3,BZ3,CE3,CJ3)</f>
        <v>43000</v>
      </c>
      <c r="CQ3" s="9">
        <f>SUM(V3,AC3,AJ3,AQ3,AX3,BE3,BL3,BQ3,BV3,CA3,CF3,CK3)</f>
        <v>43000</v>
      </c>
      <c r="CR3" s="8">
        <v>3.5</v>
      </c>
      <c r="CS3" s="8">
        <v>0</v>
      </c>
      <c r="CT3" s="8">
        <v>0</v>
      </c>
      <c r="CU3" s="8">
        <v>0</v>
      </c>
      <c r="CV3" s="8">
        <f>CT3-CP3</f>
        <v>-43000</v>
      </c>
      <c r="CW3" s="8">
        <f>CU3-CQ3</f>
        <v>-43000</v>
      </c>
      <c r="CX3" s="8">
        <v>0</v>
      </c>
      <c r="CY3" s="8">
        <v>0</v>
      </c>
      <c r="CZ3" s="8">
        <v>0</v>
      </c>
      <c r="DA3" s="8">
        <v>0</v>
      </c>
      <c r="DB3" s="8">
        <f>CP3</f>
        <v>43000</v>
      </c>
      <c r="DC3" s="8">
        <f>CQ3</f>
        <v>43000</v>
      </c>
    </row>
    <row r="4" spans="1:107" s="10" customFormat="1">
      <c r="C4" s="11" t="s">
        <v>105</v>
      </c>
      <c r="D4" s="11" t="s">
        <v>106</v>
      </c>
      <c r="E4" s="11" t="s">
        <v>115</v>
      </c>
      <c r="F4" s="11" t="s">
        <v>116</v>
      </c>
      <c r="G4" s="11"/>
      <c r="H4" s="11">
        <v>129915</v>
      </c>
      <c r="I4" s="11">
        <v>5841813202</v>
      </c>
      <c r="J4" s="11" t="s">
        <v>109</v>
      </c>
      <c r="K4" s="11" t="s">
        <v>117</v>
      </c>
      <c r="L4" s="11" t="s">
        <v>117</v>
      </c>
      <c r="M4" s="11" t="s">
        <v>111</v>
      </c>
      <c r="N4" s="11" t="s">
        <v>112</v>
      </c>
      <c r="O4" s="12" t="s">
        <v>113</v>
      </c>
      <c r="P4" s="12" t="s">
        <v>114</v>
      </c>
      <c r="Q4" s="13"/>
      <c r="R4" s="13"/>
      <c r="S4" s="14">
        <v>0</v>
      </c>
      <c r="T4" s="14">
        <v>0</v>
      </c>
      <c r="U4" s="8">
        <f t="shared" ref="U4:U26" si="0">1000*W4</f>
        <v>5000</v>
      </c>
      <c r="V4" s="8">
        <f t="shared" ref="V4:V26" si="1">1000*W4</f>
        <v>5000</v>
      </c>
      <c r="W4" s="14">
        <v>5</v>
      </c>
      <c r="X4" s="14">
        <v>0</v>
      </c>
      <c r="Y4" s="14">
        <v>0</v>
      </c>
      <c r="Z4" s="14">
        <v>0</v>
      </c>
      <c r="AA4" s="14">
        <v>0</v>
      </c>
      <c r="AB4" s="8">
        <f t="shared" ref="AB4:AB26" si="2">1000*AD4</f>
        <v>5000</v>
      </c>
      <c r="AC4" s="8">
        <f t="shared" ref="AC4:AC26" si="3">1000*AD4</f>
        <v>5000</v>
      </c>
      <c r="AD4" s="14">
        <v>5</v>
      </c>
      <c r="AE4" s="14">
        <v>0</v>
      </c>
      <c r="AF4" s="14">
        <v>0</v>
      </c>
      <c r="AG4" s="14">
        <v>0</v>
      </c>
      <c r="AH4" s="8">
        <v>0</v>
      </c>
      <c r="AI4" s="8">
        <f t="shared" ref="AI4:AI26" si="4">1000*AK4</f>
        <v>5000</v>
      </c>
      <c r="AJ4" s="8">
        <f t="shared" ref="AJ4:AJ26" si="5">1000*AK4</f>
        <v>5000</v>
      </c>
      <c r="AK4" s="14">
        <v>5</v>
      </c>
      <c r="AL4" s="14">
        <v>0</v>
      </c>
      <c r="AM4" s="14">
        <v>0</v>
      </c>
      <c r="AN4" s="14">
        <v>0</v>
      </c>
      <c r="AO4" s="8">
        <v>0</v>
      </c>
      <c r="AP4" s="8">
        <f t="shared" ref="AP4:AP26" si="6">1000*AR4</f>
        <v>5000</v>
      </c>
      <c r="AQ4" s="8">
        <f t="shared" ref="AQ4:AQ26" si="7">1000*AR4</f>
        <v>5000</v>
      </c>
      <c r="AR4" s="14">
        <v>5</v>
      </c>
      <c r="AS4" s="14">
        <v>0</v>
      </c>
      <c r="AT4" s="14">
        <v>0</v>
      </c>
      <c r="AU4" s="14">
        <v>0</v>
      </c>
      <c r="AV4" s="8">
        <v>0</v>
      </c>
      <c r="AW4" s="8">
        <f t="shared" ref="AW4:AW26" si="8">1000*AY4</f>
        <v>5000</v>
      </c>
      <c r="AX4" s="8">
        <f t="shared" ref="AX4:AX26" si="9">1000*AY4</f>
        <v>5000</v>
      </c>
      <c r="AY4" s="14">
        <v>5</v>
      </c>
      <c r="AZ4" s="14">
        <v>0</v>
      </c>
      <c r="BA4" s="14">
        <v>0</v>
      </c>
      <c r="BB4" s="14">
        <v>0</v>
      </c>
      <c r="BC4" s="8">
        <v>0</v>
      </c>
      <c r="BD4" s="8">
        <f t="shared" ref="BD4:BD26" si="10">1000*BF4</f>
        <v>5000</v>
      </c>
      <c r="BE4" s="8">
        <f t="shared" ref="BE4:BE26" si="11">1000*BF4</f>
        <v>5000</v>
      </c>
      <c r="BF4" s="14">
        <v>5</v>
      </c>
      <c r="BG4" s="14">
        <v>0</v>
      </c>
      <c r="BH4" s="14">
        <v>0</v>
      </c>
      <c r="BI4" s="14">
        <v>0</v>
      </c>
      <c r="BJ4" s="8">
        <v>0</v>
      </c>
      <c r="BK4" s="8">
        <f t="shared" ref="BK4:BK26" si="12">1000*BM4</f>
        <v>5000</v>
      </c>
      <c r="BL4" s="8">
        <f t="shared" ref="BL4:BL26" si="13">1000*BM4</f>
        <v>5000</v>
      </c>
      <c r="BM4" s="14">
        <v>5</v>
      </c>
      <c r="BN4" s="14">
        <v>0</v>
      </c>
      <c r="BO4" s="14">
        <v>0</v>
      </c>
      <c r="BP4" s="8">
        <f t="shared" ref="BP4:BP26" si="14">1000*BR4</f>
        <v>5000</v>
      </c>
      <c r="BQ4" s="8">
        <f t="shared" ref="BQ4:BQ26" si="15">1000*BR4</f>
        <v>5000</v>
      </c>
      <c r="BR4" s="14">
        <v>5</v>
      </c>
      <c r="BS4" s="14">
        <v>0</v>
      </c>
      <c r="BT4" s="14">
        <v>0</v>
      </c>
      <c r="BU4" s="8">
        <f t="shared" ref="BU4:BU26" si="16">1000*BW4</f>
        <v>5000</v>
      </c>
      <c r="BV4" s="8">
        <f t="shared" ref="BV4:BV26" si="17">1000*BW4</f>
        <v>5000</v>
      </c>
      <c r="BW4" s="14">
        <v>5</v>
      </c>
      <c r="BX4" s="14">
        <v>0</v>
      </c>
      <c r="BY4" s="14">
        <v>0</v>
      </c>
      <c r="BZ4" s="8">
        <f t="shared" ref="BZ4:BZ26" si="18">1000*CB4</f>
        <v>5000</v>
      </c>
      <c r="CA4" s="8">
        <f t="shared" ref="CA4:CA26" si="19">1000*CB4</f>
        <v>5000</v>
      </c>
      <c r="CB4" s="14">
        <v>5</v>
      </c>
      <c r="CC4" s="14">
        <v>0</v>
      </c>
      <c r="CD4" s="14">
        <v>0</v>
      </c>
      <c r="CE4" s="8">
        <f t="shared" ref="CE4:CE26" si="20">1000*CG4</f>
        <v>5000</v>
      </c>
      <c r="CF4" s="8">
        <f t="shared" ref="CF4:CF26" si="21">1000*CG4</f>
        <v>5000</v>
      </c>
      <c r="CG4" s="14">
        <v>5</v>
      </c>
      <c r="CH4" s="14">
        <v>0</v>
      </c>
      <c r="CI4" s="14">
        <v>0</v>
      </c>
      <c r="CJ4" s="8">
        <f t="shared" ref="CJ4:CJ26" si="22">1000*CL4</f>
        <v>5000</v>
      </c>
      <c r="CK4" s="8">
        <f t="shared" ref="CK4:CK26" si="23">1000*CL4</f>
        <v>5000</v>
      </c>
      <c r="CL4" s="14">
        <v>5</v>
      </c>
      <c r="CM4" s="14">
        <v>0</v>
      </c>
      <c r="CN4" s="14">
        <v>0</v>
      </c>
      <c r="CO4" s="14">
        <v>0</v>
      </c>
      <c r="CP4" s="9">
        <f t="shared" ref="CP4:CP26" si="24">SUM(U4,AB4,AI4,AP4,AW4,BD4,BK4,BP4,BU4,BZ4,CE4,CJ4)</f>
        <v>60000</v>
      </c>
      <c r="CQ4" s="9">
        <f t="shared" ref="CQ4:CQ26" si="25">SUM(V4,AC4,AJ4,AQ4,AX4,BE4,BL4,BQ4,BV4,CA4,CF4,CK4)</f>
        <v>60000</v>
      </c>
      <c r="CR4" s="14">
        <v>5</v>
      </c>
      <c r="CS4" s="14">
        <v>0</v>
      </c>
      <c r="CT4" s="14">
        <v>0</v>
      </c>
      <c r="CU4" s="14">
        <v>0</v>
      </c>
      <c r="CV4" s="8">
        <f t="shared" ref="CV4:CV26" si="26">CT4-CP4</f>
        <v>-60000</v>
      </c>
      <c r="CW4" s="8">
        <f t="shared" ref="CW4:CW26" si="27">CU4-CQ4</f>
        <v>-60000</v>
      </c>
      <c r="CX4" s="14">
        <v>0</v>
      </c>
      <c r="CY4" s="14">
        <v>0</v>
      </c>
      <c r="CZ4" s="14">
        <v>0</v>
      </c>
      <c r="DA4" s="14">
        <v>0</v>
      </c>
      <c r="DB4" s="8">
        <f t="shared" ref="DB4:DB26" si="28">CP4</f>
        <v>60000</v>
      </c>
      <c r="DC4" s="8">
        <f t="shared" ref="DC4:DC26" si="29">CQ4</f>
        <v>60000</v>
      </c>
    </row>
    <row r="5" spans="1:107" s="4" customFormat="1">
      <c r="C5" s="5" t="s">
        <v>105</v>
      </c>
      <c r="D5" s="5" t="s">
        <v>106</v>
      </c>
      <c r="E5" s="5" t="s">
        <v>107</v>
      </c>
      <c r="F5" s="5" t="s">
        <v>118</v>
      </c>
      <c r="G5" s="5"/>
      <c r="H5" s="5">
        <v>363972</v>
      </c>
      <c r="I5" s="5">
        <v>5841813202</v>
      </c>
      <c r="J5" s="5" t="s">
        <v>109</v>
      </c>
      <c r="K5" s="5" t="s">
        <v>119</v>
      </c>
      <c r="L5" s="5" t="s">
        <v>119</v>
      </c>
      <c r="M5" s="5" t="s">
        <v>111</v>
      </c>
      <c r="N5" s="5" t="s">
        <v>112</v>
      </c>
      <c r="O5" s="6" t="s">
        <v>113</v>
      </c>
      <c r="P5" s="6" t="s">
        <v>114</v>
      </c>
      <c r="Q5" s="7"/>
      <c r="R5" s="7"/>
      <c r="S5" s="8">
        <v>0</v>
      </c>
      <c r="T5" s="8">
        <v>0</v>
      </c>
      <c r="U5" s="8">
        <f t="shared" si="0"/>
        <v>5000</v>
      </c>
      <c r="V5" s="8">
        <f t="shared" si="1"/>
        <v>5000</v>
      </c>
      <c r="W5" s="8">
        <v>5</v>
      </c>
      <c r="X5" s="8">
        <v>0</v>
      </c>
      <c r="Y5" s="8">
        <v>0</v>
      </c>
      <c r="Z5" s="8">
        <v>0</v>
      </c>
      <c r="AA5" s="8">
        <v>0</v>
      </c>
      <c r="AB5" s="8">
        <f t="shared" si="2"/>
        <v>5000</v>
      </c>
      <c r="AC5" s="8">
        <f t="shared" si="3"/>
        <v>5000</v>
      </c>
      <c r="AD5" s="8">
        <v>5</v>
      </c>
      <c r="AE5" s="8">
        <v>0</v>
      </c>
      <c r="AF5" s="8">
        <v>0</v>
      </c>
      <c r="AG5" s="8">
        <v>0</v>
      </c>
      <c r="AH5" s="8">
        <v>0</v>
      </c>
      <c r="AI5" s="8">
        <f t="shared" si="4"/>
        <v>5000</v>
      </c>
      <c r="AJ5" s="8">
        <f t="shared" si="5"/>
        <v>5000</v>
      </c>
      <c r="AK5" s="8">
        <v>5</v>
      </c>
      <c r="AL5" s="8">
        <v>0</v>
      </c>
      <c r="AM5" s="8">
        <v>0</v>
      </c>
      <c r="AN5" s="8">
        <v>0</v>
      </c>
      <c r="AO5" s="8">
        <v>0</v>
      </c>
      <c r="AP5" s="8">
        <f t="shared" si="6"/>
        <v>5000</v>
      </c>
      <c r="AQ5" s="8">
        <f t="shared" si="7"/>
        <v>5000</v>
      </c>
      <c r="AR5" s="8">
        <v>5</v>
      </c>
      <c r="AS5" s="8">
        <v>0</v>
      </c>
      <c r="AT5" s="8">
        <v>0</v>
      </c>
      <c r="AU5" s="8">
        <v>0</v>
      </c>
      <c r="AV5" s="8">
        <v>0</v>
      </c>
      <c r="AW5" s="8">
        <f t="shared" si="8"/>
        <v>5000</v>
      </c>
      <c r="AX5" s="8">
        <f t="shared" si="9"/>
        <v>5000</v>
      </c>
      <c r="AY5" s="8">
        <v>5</v>
      </c>
      <c r="AZ5" s="8">
        <v>96.01</v>
      </c>
      <c r="BA5" s="8">
        <v>0</v>
      </c>
      <c r="BB5" s="8">
        <v>0</v>
      </c>
      <c r="BC5" s="8">
        <v>0</v>
      </c>
      <c r="BD5" s="8">
        <f t="shared" si="10"/>
        <v>6000</v>
      </c>
      <c r="BE5" s="8">
        <f t="shared" si="11"/>
        <v>6000</v>
      </c>
      <c r="BF5" s="8">
        <v>6</v>
      </c>
      <c r="BG5" s="8">
        <v>0</v>
      </c>
      <c r="BH5" s="8">
        <v>0</v>
      </c>
      <c r="BI5" s="8">
        <v>0</v>
      </c>
      <c r="BJ5" s="8">
        <v>0</v>
      </c>
      <c r="BK5" s="8">
        <f t="shared" si="12"/>
        <v>6000</v>
      </c>
      <c r="BL5" s="8">
        <f t="shared" si="13"/>
        <v>6000</v>
      </c>
      <c r="BM5" s="8">
        <v>6</v>
      </c>
      <c r="BN5" s="8">
        <v>0</v>
      </c>
      <c r="BO5" s="8">
        <v>0</v>
      </c>
      <c r="BP5" s="8">
        <f t="shared" si="14"/>
        <v>0</v>
      </c>
      <c r="BQ5" s="8">
        <f t="shared" si="15"/>
        <v>0</v>
      </c>
      <c r="BR5" s="8">
        <v>0</v>
      </c>
      <c r="BS5" s="8">
        <v>0</v>
      </c>
      <c r="BT5" s="8">
        <v>0</v>
      </c>
      <c r="BU5" s="8">
        <f t="shared" si="16"/>
        <v>0</v>
      </c>
      <c r="BV5" s="8">
        <f t="shared" si="17"/>
        <v>0</v>
      </c>
      <c r="BW5" s="8">
        <v>0</v>
      </c>
      <c r="BX5" s="8">
        <v>0</v>
      </c>
      <c r="BY5" s="8">
        <v>0</v>
      </c>
      <c r="BZ5" s="8">
        <f t="shared" si="18"/>
        <v>0</v>
      </c>
      <c r="CA5" s="8">
        <f t="shared" si="19"/>
        <v>0</v>
      </c>
      <c r="CB5" s="8">
        <v>0</v>
      </c>
      <c r="CC5" s="8">
        <v>0</v>
      </c>
      <c r="CD5" s="8">
        <v>0</v>
      </c>
      <c r="CE5" s="8">
        <f t="shared" si="20"/>
        <v>0</v>
      </c>
      <c r="CF5" s="8">
        <f t="shared" si="21"/>
        <v>0</v>
      </c>
      <c r="CG5" s="8">
        <v>0</v>
      </c>
      <c r="CH5" s="8">
        <v>0</v>
      </c>
      <c r="CI5" s="8">
        <v>0</v>
      </c>
      <c r="CJ5" s="8">
        <f t="shared" si="22"/>
        <v>0</v>
      </c>
      <c r="CK5" s="8">
        <f t="shared" si="23"/>
        <v>0</v>
      </c>
      <c r="CL5" s="8">
        <v>0</v>
      </c>
      <c r="CM5" s="8">
        <v>0</v>
      </c>
      <c r="CN5" s="8">
        <v>0</v>
      </c>
      <c r="CO5" s="8">
        <v>0</v>
      </c>
      <c r="CP5" s="9">
        <f t="shared" si="24"/>
        <v>37000</v>
      </c>
      <c r="CQ5" s="9">
        <f t="shared" si="25"/>
        <v>37000</v>
      </c>
      <c r="CR5" s="8">
        <v>2.6</v>
      </c>
      <c r="CS5" s="8">
        <v>0</v>
      </c>
      <c r="CT5" s="8">
        <v>0</v>
      </c>
      <c r="CU5" s="8">
        <v>0</v>
      </c>
      <c r="CV5" s="8">
        <f t="shared" si="26"/>
        <v>-37000</v>
      </c>
      <c r="CW5" s="8">
        <f t="shared" si="27"/>
        <v>-37000</v>
      </c>
      <c r="CX5" s="8">
        <v>0</v>
      </c>
      <c r="CY5" s="8">
        <v>0</v>
      </c>
      <c r="CZ5" s="8">
        <v>0</v>
      </c>
      <c r="DA5" s="8">
        <v>0</v>
      </c>
      <c r="DB5" s="8">
        <f t="shared" si="28"/>
        <v>37000</v>
      </c>
      <c r="DC5" s="8">
        <f t="shared" si="29"/>
        <v>37000</v>
      </c>
    </row>
    <row r="6" spans="1:107" s="10" customFormat="1">
      <c r="C6" s="11" t="s">
        <v>105</v>
      </c>
      <c r="D6" s="11" t="s">
        <v>106</v>
      </c>
      <c r="E6" s="11" t="s">
        <v>120</v>
      </c>
      <c r="F6" s="11" t="s">
        <v>121</v>
      </c>
      <c r="G6" s="11"/>
      <c r="H6" s="11">
        <v>365477</v>
      </c>
      <c r="I6" s="11">
        <v>5841813202</v>
      </c>
      <c r="J6" s="11" t="s">
        <v>109</v>
      </c>
      <c r="K6" s="11" t="s">
        <v>122</v>
      </c>
      <c r="L6" s="11" t="s">
        <v>122</v>
      </c>
      <c r="M6" s="11" t="s">
        <v>111</v>
      </c>
      <c r="N6" s="11" t="s">
        <v>112</v>
      </c>
      <c r="O6" s="12" t="s">
        <v>113</v>
      </c>
      <c r="P6" s="12" t="s">
        <v>123</v>
      </c>
      <c r="Q6" s="13"/>
      <c r="R6" s="13"/>
      <c r="S6" s="14">
        <v>0</v>
      </c>
      <c r="T6" s="14">
        <v>0</v>
      </c>
      <c r="U6" s="8">
        <f t="shared" si="0"/>
        <v>6000</v>
      </c>
      <c r="V6" s="8">
        <f t="shared" si="1"/>
        <v>6000</v>
      </c>
      <c r="W6" s="14">
        <v>6</v>
      </c>
      <c r="X6" s="14">
        <v>0</v>
      </c>
      <c r="Y6" s="14">
        <v>0</v>
      </c>
      <c r="Z6" s="14">
        <v>0</v>
      </c>
      <c r="AA6" s="14">
        <v>0</v>
      </c>
      <c r="AB6" s="8">
        <f t="shared" si="2"/>
        <v>6000</v>
      </c>
      <c r="AC6" s="8">
        <f t="shared" si="3"/>
        <v>6000</v>
      </c>
      <c r="AD6" s="14">
        <v>6</v>
      </c>
      <c r="AE6" s="14">
        <v>0</v>
      </c>
      <c r="AF6" s="14">
        <v>0</v>
      </c>
      <c r="AG6" s="14">
        <v>0</v>
      </c>
      <c r="AH6" s="8">
        <v>0</v>
      </c>
      <c r="AI6" s="8">
        <f t="shared" si="4"/>
        <v>6000</v>
      </c>
      <c r="AJ6" s="8">
        <f t="shared" si="5"/>
        <v>6000</v>
      </c>
      <c r="AK6" s="14">
        <v>6</v>
      </c>
      <c r="AL6" s="14">
        <v>0</v>
      </c>
      <c r="AM6" s="14">
        <v>0</v>
      </c>
      <c r="AN6" s="14">
        <v>0</v>
      </c>
      <c r="AO6" s="8">
        <v>0</v>
      </c>
      <c r="AP6" s="8">
        <f t="shared" si="6"/>
        <v>6000</v>
      </c>
      <c r="AQ6" s="8">
        <f t="shared" si="7"/>
        <v>6000</v>
      </c>
      <c r="AR6" s="14">
        <v>6</v>
      </c>
      <c r="AS6" s="14">
        <v>0</v>
      </c>
      <c r="AT6" s="14">
        <v>0</v>
      </c>
      <c r="AU6" s="14">
        <v>0</v>
      </c>
      <c r="AV6" s="8">
        <v>0</v>
      </c>
      <c r="AW6" s="8">
        <f t="shared" si="8"/>
        <v>6000</v>
      </c>
      <c r="AX6" s="8">
        <f t="shared" si="9"/>
        <v>6000</v>
      </c>
      <c r="AY6" s="14">
        <v>6</v>
      </c>
      <c r="AZ6" s="14">
        <v>0</v>
      </c>
      <c r="BA6" s="14">
        <v>0</v>
      </c>
      <c r="BB6" s="14">
        <v>0</v>
      </c>
      <c r="BC6" s="8">
        <v>0</v>
      </c>
      <c r="BD6" s="8">
        <f t="shared" si="10"/>
        <v>6000</v>
      </c>
      <c r="BE6" s="8">
        <f t="shared" si="11"/>
        <v>6000</v>
      </c>
      <c r="BF6" s="14">
        <v>6</v>
      </c>
      <c r="BG6" s="14">
        <v>0</v>
      </c>
      <c r="BH6" s="14">
        <v>0</v>
      </c>
      <c r="BI6" s="14">
        <v>0</v>
      </c>
      <c r="BJ6" s="8">
        <v>0</v>
      </c>
      <c r="BK6" s="8">
        <f t="shared" si="12"/>
        <v>6000</v>
      </c>
      <c r="BL6" s="8">
        <f t="shared" si="13"/>
        <v>6000</v>
      </c>
      <c r="BM6" s="14">
        <v>6</v>
      </c>
      <c r="BN6" s="14">
        <v>0</v>
      </c>
      <c r="BO6" s="14">
        <v>0</v>
      </c>
      <c r="BP6" s="8">
        <f t="shared" si="14"/>
        <v>6000</v>
      </c>
      <c r="BQ6" s="8">
        <f t="shared" si="15"/>
        <v>6000</v>
      </c>
      <c r="BR6" s="14">
        <v>6</v>
      </c>
      <c r="BS6" s="14">
        <v>0</v>
      </c>
      <c r="BT6" s="14">
        <v>0</v>
      </c>
      <c r="BU6" s="8">
        <f t="shared" si="16"/>
        <v>6000</v>
      </c>
      <c r="BV6" s="8">
        <f t="shared" si="17"/>
        <v>6000</v>
      </c>
      <c r="BW6" s="14">
        <v>6</v>
      </c>
      <c r="BX6" s="14">
        <v>0</v>
      </c>
      <c r="BY6" s="14">
        <v>0</v>
      </c>
      <c r="BZ6" s="8">
        <f t="shared" si="18"/>
        <v>6000</v>
      </c>
      <c r="CA6" s="8">
        <f t="shared" si="19"/>
        <v>6000</v>
      </c>
      <c r="CB6" s="14">
        <v>6</v>
      </c>
      <c r="CC6" s="14">
        <v>0</v>
      </c>
      <c r="CD6" s="14">
        <v>0</v>
      </c>
      <c r="CE6" s="8">
        <f t="shared" si="20"/>
        <v>6000</v>
      </c>
      <c r="CF6" s="8">
        <f t="shared" si="21"/>
        <v>6000</v>
      </c>
      <c r="CG6" s="14">
        <v>6</v>
      </c>
      <c r="CH6" s="14">
        <v>0</v>
      </c>
      <c r="CI6" s="14">
        <v>0</v>
      </c>
      <c r="CJ6" s="8">
        <f t="shared" si="22"/>
        <v>6000</v>
      </c>
      <c r="CK6" s="8">
        <f t="shared" si="23"/>
        <v>6000</v>
      </c>
      <c r="CL6" s="14">
        <v>6</v>
      </c>
      <c r="CM6" s="14">
        <v>0</v>
      </c>
      <c r="CN6" s="14">
        <v>0</v>
      </c>
      <c r="CO6" s="14">
        <v>0</v>
      </c>
      <c r="CP6" s="9">
        <f t="shared" si="24"/>
        <v>72000</v>
      </c>
      <c r="CQ6" s="9">
        <f t="shared" si="25"/>
        <v>72000</v>
      </c>
      <c r="CR6" s="14">
        <v>6</v>
      </c>
      <c r="CS6" s="14">
        <v>0</v>
      </c>
      <c r="CT6" s="14">
        <v>0</v>
      </c>
      <c r="CU6" s="14">
        <v>0</v>
      </c>
      <c r="CV6" s="8">
        <f t="shared" si="26"/>
        <v>-72000</v>
      </c>
      <c r="CW6" s="8">
        <f t="shared" si="27"/>
        <v>-72000</v>
      </c>
      <c r="CX6" s="14">
        <v>0</v>
      </c>
      <c r="CY6" s="14">
        <v>0</v>
      </c>
      <c r="CZ6" s="14">
        <v>0</v>
      </c>
      <c r="DA6" s="14">
        <v>0</v>
      </c>
      <c r="DB6" s="8">
        <f t="shared" si="28"/>
        <v>72000</v>
      </c>
      <c r="DC6" s="8">
        <f t="shared" si="29"/>
        <v>72000</v>
      </c>
    </row>
    <row r="7" spans="1:107" s="4" customFormat="1">
      <c r="C7" s="5" t="s">
        <v>105</v>
      </c>
      <c r="D7" s="5" t="s">
        <v>106</v>
      </c>
      <c r="E7" s="5" t="s">
        <v>124</v>
      </c>
      <c r="F7" s="5" t="s">
        <v>125</v>
      </c>
      <c r="G7" s="5" t="s">
        <v>126</v>
      </c>
      <c r="H7" s="5">
        <v>36617001</v>
      </c>
      <c r="I7" s="5">
        <v>5841813202</v>
      </c>
      <c r="J7" s="5" t="s">
        <v>109</v>
      </c>
      <c r="K7" s="5" t="s">
        <v>127</v>
      </c>
      <c r="L7" s="5" t="s">
        <v>127</v>
      </c>
      <c r="M7" s="5" t="s">
        <v>111</v>
      </c>
      <c r="N7" s="5" t="s">
        <v>128</v>
      </c>
      <c r="O7" s="6" t="s">
        <v>113</v>
      </c>
      <c r="P7" s="6" t="s">
        <v>114</v>
      </c>
      <c r="Q7" s="7"/>
      <c r="R7" s="7"/>
      <c r="S7" s="8">
        <v>0</v>
      </c>
      <c r="T7" s="8">
        <v>0</v>
      </c>
      <c r="U7" s="8">
        <f t="shared" si="0"/>
        <v>5000</v>
      </c>
      <c r="V7" s="8">
        <f t="shared" si="1"/>
        <v>5000</v>
      </c>
      <c r="W7" s="8">
        <v>5</v>
      </c>
      <c r="X7" s="8">
        <v>0</v>
      </c>
      <c r="Y7" s="8">
        <v>0</v>
      </c>
      <c r="Z7" s="8">
        <v>0</v>
      </c>
      <c r="AA7" s="8">
        <v>0</v>
      </c>
      <c r="AB7" s="8">
        <f t="shared" si="2"/>
        <v>5000</v>
      </c>
      <c r="AC7" s="8">
        <f t="shared" si="3"/>
        <v>5000</v>
      </c>
      <c r="AD7" s="8">
        <v>5</v>
      </c>
      <c r="AE7" s="8">
        <v>0</v>
      </c>
      <c r="AF7" s="8">
        <v>0</v>
      </c>
      <c r="AG7" s="8">
        <v>0</v>
      </c>
      <c r="AH7" s="8">
        <v>0</v>
      </c>
      <c r="AI7" s="8">
        <f t="shared" si="4"/>
        <v>6000</v>
      </c>
      <c r="AJ7" s="8">
        <f t="shared" si="5"/>
        <v>6000</v>
      </c>
      <c r="AK7" s="8">
        <v>6</v>
      </c>
      <c r="AL7" s="8">
        <v>0</v>
      </c>
      <c r="AM7" s="8">
        <v>0</v>
      </c>
      <c r="AN7" s="8">
        <v>0</v>
      </c>
      <c r="AO7" s="8">
        <v>0</v>
      </c>
      <c r="AP7" s="8">
        <f t="shared" si="6"/>
        <v>7000</v>
      </c>
      <c r="AQ7" s="8">
        <f t="shared" si="7"/>
        <v>7000</v>
      </c>
      <c r="AR7" s="8">
        <v>7</v>
      </c>
      <c r="AS7" s="8">
        <v>0</v>
      </c>
      <c r="AT7" s="8">
        <v>0</v>
      </c>
      <c r="AU7" s="8">
        <v>0</v>
      </c>
      <c r="AV7" s="8">
        <v>0</v>
      </c>
      <c r="AW7" s="8">
        <f t="shared" si="8"/>
        <v>6000</v>
      </c>
      <c r="AX7" s="8">
        <f t="shared" si="9"/>
        <v>6000</v>
      </c>
      <c r="AY7" s="8">
        <v>6</v>
      </c>
      <c r="AZ7" s="8">
        <v>0</v>
      </c>
      <c r="BA7" s="8">
        <v>0</v>
      </c>
      <c r="BB7" s="8">
        <v>0</v>
      </c>
      <c r="BC7" s="8">
        <v>0</v>
      </c>
      <c r="BD7" s="8">
        <f t="shared" si="10"/>
        <v>6000</v>
      </c>
      <c r="BE7" s="8">
        <f t="shared" si="11"/>
        <v>6000</v>
      </c>
      <c r="BF7" s="8">
        <v>6</v>
      </c>
      <c r="BG7" s="8">
        <v>0</v>
      </c>
      <c r="BH7" s="8">
        <v>0</v>
      </c>
      <c r="BI7" s="8">
        <v>0</v>
      </c>
      <c r="BJ7" s="8">
        <v>0</v>
      </c>
      <c r="BK7" s="8">
        <f t="shared" si="12"/>
        <v>6000</v>
      </c>
      <c r="BL7" s="8">
        <f t="shared" si="13"/>
        <v>6000</v>
      </c>
      <c r="BM7" s="8">
        <v>6</v>
      </c>
      <c r="BN7" s="8">
        <v>0</v>
      </c>
      <c r="BO7" s="8">
        <v>0</v>
      </c>
      <c r="BP7" s="8">
        <f t="shared" si="14"/>
        <v>5000</v>
      </c>
      <c r="BQ7" s="8">
        <f t="shared" si="15"/>
        <v>5000</v>
      </c>
      <c r="BR7" s="8">
        <v>5</v>
      </c>
      <c r="BS7" s="8">
        <v>0</v>
      </c>
      <c r="BT7" s="8">
        <v>0</v>
      </c>
      <c r="BU7" s="8">
        <f t="shared" si="16"/>
        <v>7000</v>
      </c>
      <c r="BV7" s="8">
        <f t="shared" si="17"/>
        <v>7000</v>
      </c>
      <c r="BW7" s="8">
        <v>7</v>
      </c>
      <c r="BX7" s="8">
        <v>0</v>
      </c>
      <c r="BY7" s="8">
        <v>0</v>
      </c>
      <c r="BZ7" s="8">
        <f t="shared" si="18"/>
        <v>7000</v>
      </c>
      <c r="CA7" s="8">
        <f t="shared" si="19"/>
        <v>7000</v>
      </c>
      <c r="CB7" s="8">
        <v>7</v>
      </c>
      <c r="CC7" s="8">
        <v>0</v>
      </c>
      <c r="CD7" s="8">
        <v>0</v>
      </c>
      <c r="CE7" s="8">
        <f t="shared" si="20"/>
        <v>7000</v>
      </c>
      <c r="CF7" s="8">
        <f t="shared" si="21"/>
        <v>7000</v>
      </c>
      <c r="CG7" s="8">
        <v>7</v>
      </c>
      <c r="CH7" s="8">
        <v>0</v>
      </c>
      <c r="CI7" s="8">
        <v>0</v>
      </c>
      <c r="CJ7" s="8">
        <f t="shared" si="22"/>
        <v>7000</v>
      </c>
      <c r="CK7" s="8">
        <f t="shared" si="23"/>
        <v>7000</v>
      </c>
      <c r="CL7" s="8">
        <v>7</v>
      </c>
      <c r="CM7" s="8">
        <v>0</v>
      </c>
      <c r="CN7" s="8">
        <v>0</v>
      </c>
      <c r="CO7" s="8">
        <v>0</v>
      </c>
      <c r="CP7" s="9">
        <f t="shared" si="24"/>
        <v>74000</v>
      </c>
      <c r="CQ7" s="9">
        <f t="shared" si="25"/>
        <v>74000</v>
      </c>
      <c r="CR7" s="8">
        <v>6.2</v>
      </c>
      <c r="CS7" s="8">
        <v>0</v>
      </c>
      <c r="CT7" s="8">
        <v>0</v>
      </c>
      <c r="CU7" s="8">
        <v>0</v>
      </c>
      <c r="CV7" s="8">
        <f t="shared" si="26"/>
        <v>-74000</v>
      </c>
      <c r="CW7" s="8">
        <f t="shared" si="27"/>
        <v>-74000</v>
      </c>
      <c r="CX7" s="8">
        <v>0</v>
      </c>
      <c r="CY7" s="8">
        <v>0</v>
      </c>
      <c r="CZ7" s="8">
        <v>0</v>
      </c>
      <c r="DA7" s="8">
        <v>0</v>
      </c>
      <c r="DB7" s="8">
        <f t="shared" si="28"/>
        <v>74000</v>
      </c>
      <c r="DC7" s="8">
        <f t="shared" si="29"/>
        <v>74000</v>
      </c>
    </row>
    <row r="8" spans="1:107" s="10" customFormat="1">
      <c r="C8" s="11" t="s">
        <v>105</v>
      </c>
      <c r="D8" s="11" t="s">
        <v>106</v>
      </c>
      <c r="E8" s="11" t="s">
        <v>107</v>
      </c>
      <c r="F8" s="11" t="s">
        <v>129</v>
      </c>
      <c r="G8" s="11" t="s">
        <v>126</v>
      </c>
      <c r="H8" s="11">
        <v>36617003</v>
      </c>
      <c r="I8" s="11">
        <v>5842213202</v>
      </c>
      <c r="J8" s="11" t="s">
        <v>109</v>
      </c>
      <c r="K8" s="11" t="s">
        <v>130</v>
      </c>
      <c r="L8" s="11" t="s">
        <v>130</v>
      </c>
      <c r="M8" s="11" t="s">
        <v>111</v>
      </c>
      <c r="N8" s="11" t="s">
        <v>128</v>
      </c>
      <c r="O8" s="12" t="s">
        <v>113</v>
      </c>
      <c r="P8" s="12" t="s">
        <v>114</v>
      </c>
      <c r="Q8" s="13"/>
      <c r="R8" s="13"/>
      <c r="S8" s="14">
        <v>0</v>
      </c>
      <c r="T8" s="14">
        <v>0</v>
      </c>
      <c r="U8" s="8">
        <f t="shared" si="0"/>
        <v>5000</v>
      </c>
      <c r="V8" s="8">
        <f t="shared" si="1"/>
        <v>5000</v>
      </c>
      <c r="W8" s="14">
        <v>5</v>
      </c>
      <c r="X8" s="14">
        <v>0</v>
      </c>
      <c r="Y8" s="14">
        <v>0</v>
      </c>
      <c r="Z8" s="14">
        <v>0</v>
      </c>
      <c r="AA8" s="14">
        <v>0</v>
      </c>
      <c r="AB8" s="8">
        <f t="shared" si="2"/>
        <v>5000</v>
      </c>
      <c r="AC8" s="8">
        <f t="shared" si="3"/>
        <v>5000</v>
      </c>
      <c r="AD8" s="14">
        <v>5</v>
      </c>
      <c r="AE8" s="14">
        <v>0</v>
      </c>
      <c r="AF8" s="14">
        <v>0</v>
      </c>
      <c r="AG8" s="14">
        <v>0</v>
      </c>
      <c r="AH8" s="8">
        <v>0</v>
      </c>
      <c r="AI8" s="8">
        <f t="shared" si="4"/>
        <v>6000</v>
      </c>
      <c r="AJ8" s="8">
        <f t="shared" si="5"/>
        <v>6000</v>
      </c>
      <c r="AK8" s="14">
        <v>6</v>
      </c>
      <c r="AL8" s="14">
        <v>0</v>
      </c>
      <c r="AM8" s="14">
        <v>0</v>
      </c>
      <c r="AN8" s="14">
        <v>0</v>
      </c>
      <c r="AO8" s="8">
        <v>0</v>
      </c>
      <c r="AP8" s="8">
        <f t="shared" si="6"/>
        <v>6000</v>
      </c>
      <c r="AQ8" s="8">
        <f t="shared" si="7"/>
        <v>6000</v>
      </c>
      <c r="AR8" s="14">
        <v>6</v>
      </c>
      <c r="AS8" s="14">
        <v>0</v>
      </c>
      <c r="AT8" s="14">
        <v>0</v>
      </c>
      <c r="AU8" s="14">
        <v>0</v>
      </c>
      <c r="AV8" s="8">
        <v>0</v>
      </c>
      <c r="AW8" s="8">
        <f t="shared" si="8"/>
        <v>6000</v>
      </c>
      <c r="AX8" s="8">
        <f t="shared" si="9"/>
        <v>6000</v>
      </c>
      <c r="AY8" s="14">
        <v>6</v>
      </c>
      <c r="AZ8" s="14">
        <v>48.42</v>
      </c>
      <c r="BA8" s="14">
        <v>0</v>
      </c>
      <c r="BB8" s="14">
        <v>0</v>
      </c>
      <c r="BC8" s="8">
        <v>0</v>
      </c>
      <c r="BD8" s="8">
        <f t="shared" si="10"/>
        <v>6000</v>
      </c>
      <c r="BE8" s="8">
        <f t="shared" si="11"/>
        <v>6000</v>
      </c>
      <c r="BF8" s="14">
        <v>6</v>
      </c>
      <c r="BG8" s="14">
        <v>0</v>
      </c>
      <c r="BH8" s="14">
        <v>0</v>
      </c>
      <c r="BI8" s="14">
        <v>0</v>
      </c>
      <c r="BJ8" s="8">
        <v>0</v>
      </c>
      <c r="BK8" s="8">
        <f t="shared" si="12"/>
        <v>6000</v>
      </c>
      <c r="BL8" s="8">
        <f t="shared" si="13"/>
        <v>6000</v>
      </c>
      <c r="BM8" s="14">
        <v>6</v>
      </c>
      <c r="BN8" s="14">
        <v>0</v>
      </c>
      <c r="BO8" s="14">
        <v>0</v>
      </c>
      <c r="BP8" s="8">
        <f t="shared" si="14"/>
        <v>5000</v>
      </c>
      <c r="BQ8" s="8">
        <f t="shared" si="15"/>
        <v>5000</v>
      </c>
      <c r="BR8" s="14">
        <v>5</v>
      </c>
      <c r="BS8" s="14">
        <v>0</v>
      </c>
      <c r="BT8" s="14">
        <v>0</v>
      </c>
      <c r="BU8" s="8">
        <f t="shared" si="16"/>
        <v>6000</v>
      </c>
      <c r="BV8" s="8">
        <f t="shared" si="17"/>
        <v>6000</v>
      </c>
      <c r="BW8" s="14">
        <v>6</v>
      </c>
      <c r="BX8" s="14">
        <v>0</v>
      </c>
      <c r="BY8" s="14">
        <v>0</v>
      </c>
      <c r="BZ8" s="8">
        <f t="shared" si="18"/>
        <v>6000</v>
      </c>
      <c r="CA8" s="8">
        <f t="shared" si="19"/>
        <v>6000</v>
      </c>
      <c r="CB8" s="14">
        <v>6</v>
      </c>
      <c r="CC8" s="14">
        <v>0</v>
      </c>
      <c r="CD8" s="14">
        <v>0</v>
      </c>
      <c r="CE8" s="8">
        <f t="shared" si="20"/>
        <v>6000</v>
      </c>
      <c r="CF8" s="8">
        <f t="shared" si="21"/>
        <v>6000</v>
      </c>
      <c r="CG8" s="14">
        <v>6</v>
      </c>
      <c r="CH8" s="14">
        <v>0</v>
      </c>
      <c r="CI8" s="14">
        <v>0</v>
      </c>
      <c r="CJ8" s="8">
        <f t="shared" si="22"/>
        <v>6000</v>
      </c>
      <c r="CK8" s="8">
        <f t="shared" si="23"/>
        <v>6000</v>
      </c>
      <c r="CL8" s="14">
        <v>6</v>
      </c>
      <c r="CM8" s="14">
        <v>0</v>
      </c>
      <c r="CN8" s="14">
        <v>0</v>
      </c>
      <c r="CO8" s="14">
        <v>0</v>
      </c>
      <c r="CP8" s="9">
        <f t="shared" si="24"/>
        <v>69000</v>
      </c>
      <c r="CQ8" s="9">
        <f t="shared" si="25"/>
        <v>69000</v>
      </c>
      <c r="CR8" s="14">
        <v>5.7</v>
      </c>
      <c r="CS8" s="14">
        <v>0</v>
      </c>
      <c r="CT8" s="14">
        <v>0</v>
      </c>
      <c r="CU8" s="14">
        <v>0</v>
      </c>
      <c r="CV8" s="8">
        <f t="shared" si="26"/>
        <v>-69000</v>
      </c>
      <c r="CW8" s="8">
        <f t="shared" si="27"/>
        <v>-69000</v>
      </c>
      <c r="CX8" s="14">
        <v>0</v>
      </c>
      <c r="CY8" s="14">
        <v>0</v>
      </c>
      <c r="CZ8" s="14">
        <v>0</v>
      </c>
      <c r="DA8" s="14">
        <v>0</v>
      </c>
      <c r="DB8" s="8">
        <f t="shared" si="28"/>
        <v>69000</v>
      </c>
      <c r="DC8" s="8">
        <f t="shared" si="29"/>
        <v>69000</v>
      </c>
    </row>
    <row r="9" spans="1:107" s="4" customFormat="1">
      <c r="C9" s="5" t="s">
        <v>105</v>
      </c>
      <c r="D9" s="5" t="s">
        <v>106</v>
      </c>
      <c r="E9" s="5" t="s">
        <v>131</v>
      </c>
      <c r="F9" s="5" t="s">
        <v>132</v>
      </c>
      <c r="G9" s="5" t="s">
        <v>126</v>
      </c>
      <c r="H9" s="5">
        <v>36617006</v>
      </c>
      <c r="I9" s="5">
        <v>5842083202</v>
      </c>
      <c r="J9" s="5" t="s">
        <v>109</v>
      </c>
      <c r="K9" s="5" t="s">
        <v>133</v>
      </c>
      <c r="L9" s="5" t="s">
        <v>133</v>
      </c>
      <c r="M9" s="5" t="s">
        <v>111</v>
      </c>
      <c r="N9" s="5" t="s">
        <v>128</v>
      </c>
      <c r="O9" s="6" t="s">
        <v>113</v>
      </c>
      <c r="P9" s="6" t="s">
        <v>114</v>
      </c>
      <c r="Q9" s="7"/>
      <c r="R9" s="7"/>
      <c r="S9" s="8">
        <v>0</v>
      </c>
      <c r="T9" s="8">
        <v>0</v>
      </c>
      <c r="U9" s="8">
        <f t="shared" si="0"/>
        <v>6000</v>
      </c>
      <c r="V9" s="8">
        <f t="shared" si="1"/>
        <v>6000</v>
      </c>
      <c r="W9" s="8">
        <v>6</v>
      </c>
      <c r="X9" s="8">
        <v>0</v>
      </c>
      <c r="Y9" s="8">
        <v>0</v>
      </c>
      <c r="Z9" s="8">
        <v>0</v>
      </c>
      <c r="AA9" s="8">
        <v>0</v>
      </c>
      <c r="AB9" s="8">
        <f t="shared" si="2"/>
        <v>6000</v>
      </c>
      <c r="AC9" s="8">
        <f t="shared" si="3"/>
        <v>6000</v>
      </c>
      <c r="AD9" s="8">
        <v>6</v>
      </c>
      <c r="AE9" s="8">
        <v>0</v>
      </c>
      <c r="AF9" s="8">
        <v>0</v>
      </c>
      <c r="AG9" s="8">
        <v>0</v>
      </c>
      <c r="AH9" s="8">
        <v>0</v>
      </c>
      <c r="AI9" s="8">
        <f t="shared" si="4"/>
        <v>6000</v>
      </c>
      <c r="AJ9" s="8">
        <f t="shared" si="5"/>
        <v>6000</v>
      </c>
      <c r="AK9" s="8">
        <v>6</v>
      </c>
      <c r="AL9" s="8">
        <v>0</v>
      </c>
      <c r="AM9" s="8">
        <v>0</v>
      </c>
      <c r="AN9" s="8">
        <v>0</v>
      </c>
      <c r="AO9" s="8">
        <v>0</v>
      </c>
      <c r="AP9" s="8">
        <f t="shared" si="6"/>
        <v>7000</v>
      </c>
      <c r="AQ9" s="8">
        <f t="shared" si="7"/>
        <v>7000</v>
      </c>
      <c r="AR9" s="8">
        <v>7</v>
      </c>
      <c r="AS9" s="8">
        <v>0</v>
      </c>
      <c r="AT9" s="8">
        <v>0</v>
      </c>
      <c r="AU9" s="8">
        <v>0</v>
      </c>
      <c r="AV9" s="8">
        <v>0</v>
      </c>
      <c r="AW9" s="8">
        <f t="shared" si="8"/>
        <v>7000</v>
      </c>
      <c r="AX9" s="8">
        <f t="shared" si="9"/>
        <v>7000</v>
      </c>
      <c r="AY9" s="8">
        <v>7</v>
      </c>
      <c r="AZ9" s="8">
        <v>0</v>
      </c>
      <c r="BA9" s="8">
        <v>0</v>
      </c>
      <c r="BB9" s="8">
        <v>0</v>
      </c>
      <c r="BC9" s="8">
        <v>0</v>
      </c>
      <c r="BD9" s="8">
        <f t="shared" si="10"/>
        <v>7000</v>
      </c>
      <c r="BE9" s="8">
        <f t="shared" si="11"/>
        <v>7000</v>
      </c>
      <c r="BF9" s="8">
        <v>7</v>
      </c>
      <c r="BG9" s="8">
        <v>0</v>
      </c>
      <c r="BH9" s="8">
        <v>0</v>
      </c>
      <c r="BI9" s="8">
        <v>0</v>
      </c>
      <c r="BJ9" s="8">
        <v>0</v>
      </c>
      <c r="BK9" s="8">
        <f t="shared" si="12"/>
        <v>7000</v>
      </c>
      <c r="BL9" s="8">
        <f t="shared" si="13"/>
        <v>7000</v>
      </c>
      <c r="BM9" s="8">
        <v>7</v>
      </c>
      <c r="BN9" s="8">
        <v>0</v>
      </c>
      <c r="BO9" s="8">
        <v>0</v>
      </c>
      <c r="BP9" s="8">
        <f t="shared" si="14"/>
        <v>7000</v>
      </c>
      <c r="BQ9" s="8">
        <f t="shared" si="15"/>
        <v>7000</v>
      </c>
      <c r="BR9" s="8">
        <v>7</v>
      </c>
      <c r="BS9" s="8">
        <v>0</v>
      </c>
      <c r="BT9" s="8">
        <v>0</v>
      </c>
      <c r="BU9" s="8">
        <f t="shared" si="16"/>
        <v>7000</v>
      </c>
      <c r="BV9" s="8">
        <f t="shared" si="17"/>
        <v>7000</v>
      </c>
      <c r="BW9" s="8">
        <v>7</v>
      </c>
      <c r="BX9" s="8">
        <v>0</v>
      </c>
      <c r="BY9" s="8">
        <v>0</v>
      </c>
      <c r="BZ9" s="8">
        <f t="shared" si="18"/>
        <v>7000</v>
      </c>
      <c r="CA9" s="8">
        <f t="shared" si="19"/>
        <v>7000</v>
      </c>
      <c r="CB9" s="8">
        <v>7</v>
      </c>
      <c r="CC9" s="8">
        <v>0</v>
      </c>
      <c r="CD9" s="8">
        <v>0</v>
      </c>
      <c r="CE9" s="8">
        <f t="shared" si="20"/>
        <v>7000</v>
      </c>
      <c r="CF9" s="8">
        <f t="shared" si="21"/>
        <v>7000</v>
      </c>
      <c r="CG9" s="8">
        <v>7</v>
      </c>
      <c r="CH9" s="8">
        <v>0</v>
      </c>
      <c r="CI9" s="8">
        <v>0</v>
      </c>
      <c r="CJ9" s="8">
        <f t="shared" si="22"/>
        <v>7000</v>
      </c>
      <c r="CK9" s="8">
        <f t="shared" si="23"/>
        <v>7000</v>
      </c>
      <c r="CL9" s="8">
        <v>7</v>
      </c>
      <c r="CM9" s="8">
        <v>0</v>
      </c>
      <c r="CN9" s="8">
        <v>0</v>
      </c>
      <c r="CO9" s="8">
        <v>0</v>
      </c>
      <c r="CP9" s="9">
        <f t="shared" si="24"/>
        <v>81000</v>
      </c>
      <c r="CQ9" s="9">
        <f t="shared" si="25"/>
        <v>81000</v>
      </c>
      <c r="CR9" s="8">
        <v>6.8</v>
      </c>
      <c r="CS9" s="8">
        <v>0</v>
      </c>
      <c r="CT9" s="8">
        <v>0</v>
      </c>
      <c r="CU9" s="8">
        <v>0</v>
      </c>
      <c r="CV9" s="8">
        <f t="shared" si="26"/>
        <v>-81000</v>
      </c>
      <c r="CW9" s="8">
        <f t="shared" si="27"/>
        <v>-81000</v>
      </c>
      <c r="CX9" s="8">
        <v>0</v>
      </c>
      <c r="CY9" s="8">
        <v>0</v>
      </c>
      <c r="CZ9" s="8">
        <v>0</v>
      </c>
      <c r="DA9" s="8">
        <v>0</v>
      </c>
      <c r="DB9" s="8">
        <f t="shared" si="28"/>
        <v>81000</v>
      </c>
      <c r="DC9" s="8">
        <f t="shared" si="29"/>
        <v>81000</v>
      </c>
    </row>
    <row r="10" spans="1:107" s="10" customFormat="1">
      <c r="C10" s="11" t="s">
        <v>105</v>
      </c>
      <c r="D10" s="11" t="s">
        <v>106</v>
      </c>
      <c r="E10" s="11" t="s">
        <v>134</v>
      </c>
      <c r="F10" s="11" t="s">
        <v>135</v>
      </c>
      <c r="G10" s="11" t="s">
        <v>126</v>
      </c>
      <c r="H10" s="11">
        <v>36617009</v>
      </c>
      <c r="I10" s="11">
        <v>5841993202</v>
      </c>
      <c r="J10" s="11" t="s">
        <v>109</v>
      </c>
      <c r="K10" s="11" t="s">
        <v>136</v>
      </c>
      <c r="L10" s="11" t="s">
        <v>136</v>
      </c>
      <c r="M10" s="11" t="s">
        <v>111</v>
      </c>
      <c r="N10" s="11" t="s">
        <v>128</v>
      </c>
      <c r="O10" s="12" t="s">
        <v>113</v>
      </c>
      <c r="P10" s="12" t="s">
        <v>114</v>
      </c>
      <c r="Q10" s="13"/>
      <c r="R10" s="13"/>
      <c r="S10" s="14">
        <v>0</v>
      </c>
      <c r="T10" s="14">
        <v>0</v>
      </c>
      <c r="U10" s="8">
        <f t="shared" si="0"/>
        <v>7000</v>
      </c>
      <c r="V10" s="8">
        <f t="shared" si="1"/>
        <v>7000</v>
      </c>
      <c r="W10" s="14">
        <v>7</v>
      </c>
      <c r="X10" s="14">
        <v>0</v>
      </c>
      <c r="Y10" s="14">
        <v>0</v>
      </c>
      <c r="Z10" s="14">
        <v>0</v>
      </c>
      <c r="AA10" s="14">
        <v>0</v>
      </c>
      <c r="AB10" s="8">
        <f t="shared" si="2"/>
        <v>7000</v>
      </c>
      <c r="AC10" s="8">
        <f t="shared" si="3"/>
        <v>7000</v>
      </c>
      <c r="AD10" s="14">
        <v>7</v>
      </c>
      <c r="AE10" s="14">
        <v>0</v>
      </c>
      <c r="AF10" s="14">
        <v>0</v>
      </c>
      <c r="AG10" s="14">
        <v>0</v>
      </c>
      <c r="AH10" s="8">
        <v>0</v>
      </c>
      <c r="AI10" s="8">
        <f t="shared" si="4"/>
        <v>7000</v>
      </c>
      <c r="AJ10" s="8">
        <f t="shared" si="5"/>
        <v>7000</v>
      </c>
      <c r="AK10" s="14">
        <v>7</v>
      </c>
      <c r="AL10" s="14">
        <v>0</v>
      </c>
      <c r="AM10" s="14">
        <v>0</v>
      </c>
      <c r="AN10" s="14">
        <v>0</v>
      </c>
      <c r="AO10" s="8">
        <v>0</v>
      </c>
      <c r="AP10" s="8">
        <f t="shared" si="6"/>
        <v>7000</v>
      </c>
      <c r="AQ10" s="8">
        <f t="shared" si="7"/>
        <v>7000</v>
      </c>
      <c r="AR10" s="14">
        <v>7</v>
      </c>
      <c r="AS10" s="14">
        <v>0</v>
      </c>
      <c r="AT10" s="14">
        <v>0</v>
      </c>
      <c r="AU10" s="14">
        <v>0</v>
      </c>
      <c r="AV10" s="8">
        <v>0</v>
      </c>
      <c r="AW10" s="8">
        <f t="shared" si="8"/>
        <v>7000</v>
      </c>
      <c r="AX10" s="8">
        <f t="shared" si="9"/>
        <v>7000</v>
      </c>
      <c r="AY10" s="14">
        <v>7</v>
      </c>
      <c r="AZ10" s="14">
        <v>0</v>
      </c>
      <c r="BA10" s="14">
        <v>0</v>
      </c>
      <c r="BB10" s="14">
        <v>0</v>
      </c>
      <c r="BC10" s="8">
        <v>0</v>
      </c>
      <c r="BD10" s="8">
        <f t="shared" si="10"/>
        <v>7000</v>
      </c>
      <c r="BE10" s="8">
        <f t="shared" si="11"/>
        <v>7000</v>
      </c>
      <c r="BF10" s="14">
        <v>7</v>
      </c>
      <c r="BG10" s="14">
        <v>0</v>
      </c>
      <c r="BH10" s="14">
        <v>0</v>
      </c>
      <c r="BI10" s="14">
        <v>0</v>
      </c>
      <c r="BJ10" s="8">
        <v>0</v>
      </c>
      <c r="BK10" s="8">
        <f t="shared" si="12"/>
        <v>7000</v>
      </c>
      <c r="BL10" s="8">
        <f t="shared" si="13"/>
        <v>7000</v>
      </c>
      <c r="BM10" s="14">
        <v>7</v>
      </c>
      <c r="BN10" s="14">
        <v>0</v>
      </c>
      <c r="BO10" s="14">
        <v>0</v>
      </c>
      <c r="BP10" s="8">
        <f t="shared" si="14"/>
        <v>7000</v>
      </c>
      <c r="BQ10" s="8">
        <f t="shared" si="15"/>
        <v>7000</v>
      </c>
      <c r="BR10" s="14">
        <v>7</v>
      </c>
      <c r="BS10" s="14">
        <v>0</v>
      </c>
      <c r="BT10" s="14">
        <v>0</v>
      </c>
      <c r="BU10" s="8">
        <f t="shared" si="16"/>
        <v>7000</v>
      </c>
      <c r="BV10" s="8">
        <f t="shared" si="17"/>
        <v>7000</v>
      </c>
      <c r="BW10" s="14">
        <v>7</v>
      </c>
      <c r="BX10" s="14">
        <v>0</v>
      </c>
      <c r="BY10" s="14">
        <v>0</v>
      </c>
      <c r="BZ10" s="8">
        <f t="shared" si="18"/>
        <v>7000</v>
      </c>
      <c r="CA10" s="8">
        <f t="shared" si="19"/>
        <v>7000</v>
      </c>
      <c r="CB10" s="14">
        <v>7</v>
      </c>
      <c r="CC10" s="14">
        <v>0</v>
      </c>
      <c r="CD10" s="14">
        <v>0</v>
      </c>
      <c r="CE10" s="8">
        <f t="shared" si="20"/>
        <v>7000</v>
      </c>
      <c r="CF10" s="8">
        <f t="shared" si="21"/>
        <v>7000</v>
      </c>
      <c r="CG10" s="14">
        <v>7</v>
      </c>
      <c r="CH10" s="14">
        <v>0</v>
      </c>
      <c r="CI10" s="14">
        <v>0</v>
      </c>
      <c r="CJ10" s="8">
        <f t="shared" si="22"/>
        <v>7000</v>
      </c>
      <c r="CK10" s="8">
        <f t="shared" si="23"/>
        <v>7000</v>
      </c>
      <c r="CL10" s="14">
        <v>7</v>
      </c>
      <c r="CM10" s="14">
        <v>0</v>
      </c>
      <c r="CN10" s="14">
        <v>0</v>
      </c>
      <c r="CO10" s="14">
        <v>0</v>
      </c>
      <c r="CP10" s="9">
        <f t="shared" si="24"/>
        <v>84000</v>
      </c>
      <c r="CQ10" s="9">
        <f t="shared" si="25"/>
        <v>84000</v>
      </c>
      <c r="CR10" s="14">
        <v>7.1</v>
      </c>
      <c r="CS10" s="14">
        <v>0</v>
      </c>
      <c r="CT10" s="14">
        <v>0</v>
      </c>
      <c r="CU10" s="14">
        <v>0</v>
      </c>
      <c r="CV10" s="8">
        <f t="shared" si="26"/>
        <v>-84000</v>
      </c>
      <c r="CW10" s="8">
        <f t="shared" si="27"/>
        <v>-84000</v>
      </c>
      <c r="CX10" s="14">
        <v>0</v>
      </c>
      <c r="CY10" s="14">
        <v>0</v>
      </c>
      <c r="CZ10" s="14">
        <v>0</v>
      </c>
      <c r="DA10" s="14">
        <v>0</v>
      </c>
      <c r="DB10" s="8">
        <f t="shared" si="28"/>
        <v>84000</v>
      </c>
      <c r="DC10" s="8">
        <f t="shared" si="29"/>
        <v>84000</v>
      </c>
    </row>
    <row r="11" spans="1:107" s="4" customFormat="1">
      <c r="C11" s="5" t="s">
        <v>105</v>
      </c>
      <c r="D11" s="5" t="s">
        <v>106</v>
      </c>
      <c r="E11" s="5" t="s">
        <v>134</v>
      </c>
      <c r="F11" s="5" t="s">
        <v>137</v>
      </c>
      <c r="G11" s="5"/>
      <c r="H11" s="5">
        <v>370316</v>
      </c>
      <c r="I11" s="5">
        <v>5841813202</v>
      </c>
      <c r="J11" s="5" t="s">
        <v>109</v>
      </c>
      <c r="K11" s="5" t="s">
        <v>138</v>
      </c>
      <c r="L11" s="5" t="s">
        <v>138</v>
      </c>
      <c r="M11" s="5" t="s">
        <v>111</v>
      </c>
      <c r="N11" s="5" t="s">
        <v>112</v>
      </c>
      <c r="O11" s="6" t="s">
        <v>113</v>
      </c>
      <c r="P11" s="6" t="s">
        <v>114</v>
      </c>
      <c r="Q11" s="7"/>
      <c r="R11" s="7"/>
      <c r="S11" s="8">
        <v>0</v>
      </c>
      <c r="T11" s="8">
        <v>0</v>
      </c>
      <c r="U11" s="8">
        <f t="shared" si="0"/>
        <v>4000</v>
      </c>
      <c r="V11" s="8">
        <f t="shared" si="1"/>
        <v>4000</v>
      </c>
      <c r="W11" s="8">
        <v>4</v>
      </c>
      <c r="X11" s="8">
        <v>0</v>
      </c>
      <c r="Y11" s="8">
        <v>0</v>
      </c>
      <c r="Z11" s="8">
        <v>0</v>
      </c>
      <c r="AA11" s="8">
        <v>0</v>
      </c>
      <c r="AB11" s="8">
        <f t="shared" si="2"/>
        <v>4000</v>
      </c>
      <c r="AC11" s="8">
        <f t="shared" si="3"/>
        <v>4000</v>
      </c>
      <c r="AD11" s="8">
        <v>4</v>
      </c>
      <c r="AE11" s="8">
        <v>0</v>
      </c>
      <c r="AF11" s="8">
        <v>0</v>
      </c>
      <c r="AG11" s="8">
        <v>0</v>
      </c>
      <c r="AH11" s="8">
        <v>0</v>
      </c>
      <c r="AI11" s="8">
        <f t="shared" si="4"/>
        <v>4000</v>
      </c>
      <c r="AJ11" s="8">
        <f t="shared" si="5"/>
        <v>4000</v>
      </c>
      <c r="AK11" s="8">
        <v>4</v>
      </c>
      <c r="AL11" s="8">
        <v>0</v>
      </c>
      <c r="AM11" s="8">
        <v>0</v>
      </c>
      <c r="AN11" s="8">
        <v>0</v>
      </c>
      <c r="AO11" s="8">
        <v>0</v>
      </c>
      <c r="AP11" s="8">
        <f t="shared" si="6"/>
        <v>4000</v>
      </c>
      <c r="AQ11" s="8">
        <f t="shared" si="7"/>
        <v>4000</v>
      </c>
      <c r="AR11" s="8">
        <v>4</v>
      </c>
      <c r="AS11" s="8">
        <v>0</v>
      </c>
      <c r="AT11" s="8">
        <v>0</v>
      </c>
      <c r="AU11" s="8">
        <v>0</v>
      </c>
      <c r="AV11" s="8">
        <v>0</v>
      </c>
      <c r="AW11" s="8">
        <f t="shared" si="8"/>
        <v>4000</v>
      </c>
      <c r="AX11" s="8">
        <f t="shared" si="9"/>
        <v>4000</v>
      </c>
      <c r="AY11" s="8">
        <v>4</v>
      </c>
      <c r="AZ11" s="8">
        <v>0</v>
      </c>
      <c r="BA11" s="8">
        <v>0</v>
      </c>
      <c r="BB11" s="8">
        <v>0</v>
      </c>
      <c r="BC11" s="8">
        <v>0</v>
      </c>
      <c r="BD11" s="8">
        <f t="shared" si="10"/>
        <v>4000</v>
      </c>
      <c r="BE11" s="8">
        <f t="shared" si="11"/>
        <v>4000</v>
      </c>
      <c r="BF11" s="8">
        <v>4</v>
      </c>
      <c r="BG11" s="8">
        <v>0</v>
      </c>
      <c r="BH11" s="8">
        <v>0</v>
      </c>
      <c r="BI11" s="8">
        <v>0</v>
      </c>
      <c r="BJ11" s="8">
        <v>0</v>
      </c>
      <c r="BK11" s="8">
        <f t="shared" si="12"/>
        <v>4000</v>
      </c>
      <c r="BL11" s="8">
        <f t="shared" si="13"/>
        <v>4000</v>
      </c>
      <c r="BM11" s="8">
        <v>4</v>
      </c>
      <c r="BN11" s="8">
        <v>0</v>
      </c>
      <c r="BO11" s="8">
        <v>0</v>
      </c>
      <c r="BP11" s="8">
        <f t="shared" si="14"/>
        <v>4000</v>
      </c>
      <c r="BQ11" s="8">
        <f t="shared" si="15"/>
        <v>4000</v>
      </c>
      <c r="BR11" s="8">
        <v>4</v>
      </c>
      <c r="BS11" s="8">
        <v>0</v>
      </c>
      <c r="BT11" s="8">
        <v>0</v>
      </c>
      <c r="BU11" s="8">
        <f t="shared" si="16"/>
        <v>4000</v>
      </c>
      <c r="BV11" s="8">
        <f t="shared" si="17"/>
        <v>4000</v>
      </c>
      <c r="BW11" s="8">
        <v>4</v>
      </c>
      <c r="BX11" s="8">
        <v>0</v>
      </c>
      <c r="BY11" s="8">
        <v>0</v>
      </c>
      <c r="BZ11" s="8">
        <f t="shared" si="18"/>
        <v>4000</v>
      </c>
      <c r="CA11" s="8">
        <f t="shared" si="19"/>
        <v>4000</v>
      </c>
      <c r="CB11" s="8">
        <v>4</v>
      </c>
      <c r="CC11" s="8">
        <v>0</v>
      </c>
      <c r="CD11" s="8">
        <v>0</v>
      </c>
      <c r="CE11" s="8">
        <f t="shared" si="20"/>
        <v>4000</v>
      </c>
      <c r="CF11" s="8">
        <f t="shared" si="21"/>
        <v>4000</v>
      </c>
      <c r="CG11" s="8">
        <v>4</v>
      </c>
      <c r="CH11" s="8">
        <v>0</v>
      </c>
      <c r="CI11" s="8">
        <v>0</v>
      </c>
      <c r="CJ11" s="8">
        <f t="shared" si="22"/>
        <v>4000</v>
      </c>
      <c r="CK11" s="8">
        <f t="shared" si="23"/>
        <v>4000</v>
      </c>
      <c r="CL11" s="8">
        <v>4</v>
      </c>
      <c r="CM11" s="8">
        <v>0</v>
      </c>
      <c r="CN11" s="8">
        <v>0</v>
      </c>
      <c r="CO11" s="8">
        <v>0</v>
      </c>
      <c r="CP11" s="9">
        <f t="shared" si="24"/>
        <v>48000</v>
      </c>
      <c r="CQ11" s="9">
        <f t="shared" si="25"/>
        <v>48000</v>
      </c>
      <c r="CR11" s="8">
        <v>4</v>
      </c>
      <c r="CS11" s="8">
        <v>0</v>
      </c>
      <c r="CT11" s="8">
        <v>0</v>
      </c>
      <c r="CU11" s="8">
        <v>0</v>
      </c>
      <c r="CV11" s="8">
        <f t="shared" si="26"/>
        <v>-48000</v>
      </c>
      <c r="CW11" s="8">
        <f t="shared" si="27"/>
        <v>-48000</v>
      </c>
      <c r="CX11" s="8">
        <v>0</v>
      </c>
      <c r="CY11" s="8">
        <v>0</v>
      </c>
      <c r="CZ11" s="8">
        <v>0</v>
      </c>
      <c r="DA11" s="8">
        <v>0</v>
      </c>
      <c r="DB11" s="8">
        <f t="shared" si="28"/>
        <v>48000</v>
      </c>
      <c r="DC11" s="8">
        <f t="shared" si="29"/>
        <v>48000</v>
      </c>
    </row>
    <row r="12" spans="1:107" s="10" customFormat="1">
      <c r="C12" s="11" t="s">
        <v>105</v>
      </c>
      <c r="D12" s="11" t="s">
        <v>106</v>
      </c>
      <c r="E12" s="11" t="s">
        <v>139</v>
      </c>
      <c r="F12" s="11" t="s">
        <v>140</v>
      </c>
      <c r="G12" s="11"/>
      <c r="H12" s="11">
        <v>375725</v>
      </c>
      <c r="I12" s="11">
        <v>5841813202</v>
      </c>
      <c r="J12" s="11" t="s">
        <v>109</v>
      </c>
      <c r="K12" s="11" t="s">
        <v>141</v>
      </c>
      <c r="L12" s="11" t="s">
        <v>141</v>
      </c>
      <c r="M12" s="11" t="s">
        <v>111</v>
      </c>
      <c r="N12" s="11" t="s">
        <v>112</v>
      </c>
      <c r="O12" s="12" t="s">
        <v>113</v>
      </c>
      <c r="P12" s="12"/>
      <c r="Q12" s="13"/>
      <c r="R12" s="13"/>
      <c r="S12" s="14">
        <v>0</v>
      </c>
      <c r="T12" s="14">
        <v>0</v>
      </c>
      <c r="U12" s="8">
        <f t="shared" si="0"/>
        <v>5000</v>
      </c>
      <c r="V12" s="8">
        <f t="shared" si="1"/>
        <v>5000</v>
      </c>
      <c r="W12" s="14">
        <v>5</v>
      </c>
      <c r="X12" s="14">
        <v>0</v>
      </c>
      <c r="Y12" s="14">
        <v>0</v>
      </c>
      <c r="Z12" s="14">
        <v>0</v>
      </c>
      <c r="AA12" s="14">
        <v>0</v>
      </c>
      <c r="AB12" s="8">
        <f t="shared" si="2"/>
        <v>5000</v>
      </c>
      <c r="AC12" s="8">
        <f t="shared" si="3"/>
        <v>5000</v>
      </c>
      <c r="AD12" s="14">
        <v>5</v>
      </c>
      <c r="AE12" s="14">
        <v>0</v>
      </c>
      <c r="AF12" s="14">
        <v>0</v>
      </c>
      <c r="AG12" s="14">
        <v>0</v>
      </c>
      <c r="AH12" s="8">
        <v>0</v>
      </c>
      <c r="AI12" s="8">
        <f t="shared" si="4"/>
        <v>5000</v>
      </c>
      <c r="AJ12" s="8">
        <f t="shared" si="5"/>
        <v>5000</v>
      </c>
      <c r="AK12" s="14">
        <v>5</v>
      </c>
      <c r="AL12" s="14">
        <v>0</v>
      </c>
      <c r="AM12" s="14">
        <v>0</v>
      </c>
      <c r="AN12" s="14">
        <v>0</v>
      </c>
      <c r="AO12" s="8">
        <v>0</v>
      </c>
      <c r="AP12" s="8">
        <f t="shared" si="6"/>
        <v>5000</v>
      </c>
      <c r="AQ12" s="8">
        <f t="shared" si="7"/>
        <v>5000</v>
      </c>
      <c r="AR12" s="14">
        <v>5</v>
      </c>
      <c r="AS12" s="14">
        <v>0</v>
      </c>
      <c r="AT12" s="14">
        <v>0</v>
      </c>
      <c r="AU12" s="14">
        <v>0</v>
      </c>
      <c r="AV12" s="8">
        <v>0</v>
      </c>
      <c r="AW12" s="8">
        <f t="shared" si="8"/>
        <v>5000</v>
      </c>
      <c r="AX12" s="8">
        <f t="shared" si="9"/>
        <v>5000</v>
      </c>
      <c r="AY12" s="14">
        <v>5</v>
      </c>
      <c r="AZ12" s="14">
        <v>0</v>
      </c>
      <c r="BA12" s="14">
        <v>0</v>
      </c>
      <c r="BB12" s="14">
        <v>0</v>
      </c>
      <c r="BC12" s="8">
        <v>0</v>
      </c>
      <c r="BD12" s="8">
        <f t="shared" si="10"/>
        <v>5000</v>
      </c>
      <c r="BE12" s="8">
        <f t="shared" si="11"/>
        <v>5000</v>
      </c>
      <c r="BF12" s="14">
        <v>5</v>
      </c>
      <c r="BG12" s="14">
        <v>0</v>
      </c>
      <c r="BH12" s="14">
        <v>0</v>
      </c>
      <c r="BI12" s="14">
        <v>0</v>
      </c>
      <c r="BJ12" s="8">
        <v>0</v>
      </c>
      <c r="BK12" s="8">
        <f t="shared" si="12"/>
        <v>5000</v>
      </c>
      <c r="BL12" s="8">
        <f t="shared" si="13"/>
        <v>5000</v>
      </c>
      <c r="BM12" s="14">
        <v>5</v>
      </c>
      <c r="BN12" s="14">
        <v>0</v>
      </c>
      <c r="BO12" s="14">
        <v>0</v>
      </c>
      <c r="BP12" s="8">
        <f t="shared" si="14"/>
        <v>5000</v>
      </c>
      <c r="BQ12" s="8">
        <f t="shared" si="15"/>
        <v>5000</v>
      </c>
      <c r="BR12" s="14">
        <v>5</v>
      </c>
      <c r="BS12" s="14">
        <v>0</v>
      </c>
      <c r="BT12" s="14">
        <v>0</v>
      </c>
      <c r="BU12" s="8">
        <f t="shared" si="16"/>
        <v>5000</v>
      </c>
      <c r="BV12" s="8">
        <f t="shared" si="17"/>
        <v>5000</v>
      </c>
      <c r="BW12" s="14">
        <v>5</v>
      </c>
      <c r="BX12" s="14">
        <v>0</v>
      </c>
      <c r="BY12" s="14">
        <v>0</v>
      </c>
      <c r="BZ12" s="8">
        <f t="shared" si="18"/>
        <v>5000</v>
      </c>
      <c r="CA12" s="8">
        <f t="shared" si="19"/>
        <v>5000</v>
      </c>
      <c r="CB12" s="14">
        <v>5</v>
      </c>
      <c r="CC12" s="14">
        <v>0</v>
      </c>
      <c r="CD12" s="14">
        <v>0</v>
      </c>
      <c r="CE12" s="8">
        <f t="shared" si="20"/>
        <v>5000</v>
      </c>
      <c r="CF12" s="8">
        <f t="shared" si="21"/>
        <v>5000</v>
      </c>
      <c r="CG12" s="14">
        <v>5</v>
      </c>
      <c r="CH12" s="14">
        <v>0</v>
      </c>
      <c r="CI12" s="14">
        <v>0</v>
      </c>
      <c r="CJ12" s="8">
        <f t="shared" si="22"/>
        <v>5000</v>
      </c>
      <c r="CK12" s="8">
        <f t="shared" si="23"/>
        <v>5000</v>
      </c>
      <c r="CL12" s="14">
        <v>5</v>
      </c>
      <c r="CM12" s="14">
        <v>0</v>
      </c>
      <c r="CN12" s="14">
        <v>0</v>
      </c>
      <c r="CO12" s="14">
        <v>0</v>
      </c>
      <c r="CP12" s="9">
        <f t="shared" si="24"/>
        <v>60000</v>
      </c>
      <c r="CQ12" s="9">
        <f t="shared" si="25"/>
        <v>60000</v>
      </c>
      <c r="CR12" s="14">
        <v>5</v>
      </c>
      <c r="CS12" s="14">
        <v>0</v>
      </c>
      <c r="CT12" s="14">
        <v>0</v>
      </c>
      <c r="CU12" s="14">
        <v>0</v>
      </c>
      <c r="CV12" s="8">
        <f t="shared" si="26"/>
        <v>-60000</v>
      </c>
      <c r="CW12" s="8">
        <f t="shared" si="27"/>
        <v>-60000</v>
      </c>
      <c r="CX12" s="14">
        <v>0</v>
      </c>
      <c r="CY12" s="14">
        <v>0</v>
      </c>
      <c r="CZ12" s="14">
        <v>0</v>
      </c>
      <c r="DA12" s="14">
        <v>0</v>
      </c>
      <c r="DB12" s="8">
        <f t="shared" si="28"/>
        <v>60000</v>
      </c>
      <c r="DC12" s="8">
        <f t="shared" si="29"/>
        <v>60000</v>
      </c>
    </row>
    <row r="13" spans="1:107" s="4" customFormat="1">
      <c r="C13" s="5" t="s">
        <v>105</v>
      </c>
      <c r="D13" s="5" t="s">
        <v>106</v>
      </c>
      <c r="E13" s="5" t="s">
        <v>142</v>
      </c>
      <c r="F13" s="5" t="s">
        <v>143</v>
      </c>
      <c r="G13" s="5"/>
      <c r="H13" s="5">
        <v>375953</v>
      </c>
      <c r="I13" s="5">
        <v>5841813202</v>
      </c>
      <c r="J13" s="5" t="s">
        <v>109</v>
      </c>
      <c r="K13" s="5" t="s">
        <v>144</v>
      </c>
      <c r="L13" s="5" t="s">
        <v>144</v>
      </c>
      <c r="M13" s="5" t="s">
        <v>111</v>
      </c>
      <c r="N13" s="5" t="s">
        <v>112</v>
      </c>
      <c r="O13" s="6" t="s">
        <v>113</v>
      </c>
      <c r="P13" s="6"/>
      <c r="Q13" s="7"/>
      <c r="R13" s="7"/>
      <c r="S13" s="8">
        <v>0</v>
      </c>
      <c r="T13" s="8">
        <v>0</v>
      </c>
      <c r="U13" s="8">
        <f t="shared" si="0"/>
        <v>4000</v>
      </c>
      <c r="V13" s="8">
        <f t="shared" si="1"/>
        <v>4000</v>
      </c>
      <c r="W13" s="8">
        <v>4</v>
      </c>
      <c r="X13" s="8">
        <v>0</v>
      </c>
      <c r="Y13" s="8">
        <v>0</v>
      </c>
      <c r="Z13" s="8">
        <v>0</v>
      </c>
      <c r="AA13" s="8">
        <v>0</v>
      </c>
      <c r="AB13" s="8">
        <f t="shared" si="2"/>
        <v>4000</v>
      </c>
      <c r="AC13" s="8">
        <f t="shared" si="3"/>
        <v>4000</v>
      </c>
      <c r="AD13" s="8">
        <v>4</v>
      </c>
      <c r="AE13" s="8">
        <v>0</v>
      </c>
      <c r="AF13" s="8">
        <v>0</v>
      </c>
      <c r="AG13" s="8">
        <v>0</v>
      </c>
      <c r="AH13" s="8">
        <v>0</v>
      </c>
      <c r="AI13" s="8">
        <f t="shared" si="4"/>
        <v>4000</v>
      </c>
      <c r="AJ13" s="8">
        <f t="shared" si="5"/>
        <v>4000</v>
      </c>
      <c r="AK13" s="8">
        <v>4</v>
      </c>
      <c r="AL13" s="8">
        <v>0</v>
      </c>
      <c r="AM13" s="8">
        <v>0</v>
      </c>
      <c r="AN13" s="8">
        <v>0</v>
      </c>
      <c r="AO13" s="8">
        <v>0</v>
      </c>
      <c r="AP13" s="8">
        <f t="shared" si="6"/>
        <v>4000</v>
      </c>
      <c r="AQ13" s="8">
        <f t="shared" si="7"/>
        <v>4000</v>
      </c>
      <c r="AR13" s="8">
        <v>4</v>
      </c>
      <c r="AS13" s="8">
        <v>0</v>
      </c>
      <c r="AT13" s="8">
        <v>0</v>
      </c>
      <c r="AU13" s="8">
        <v>0</v>
      </c>
      <c r="AV13" s="8">
        <v>0</v>
      </c>
      <c r="AW13" s="8">
        <f t="shared" si="8"/>
        <v>4000</v>
      </c>
      <c r="AX13" s="8">
        <f t="shared" si="9"/>
        <v>4000</v>
      </c>
      <c r="AY13" s="8">
        <v>4</v>
      </c>
      <c r="AZ13" s="8">
        <v>68.319999999999993</v>
      </c>
      <c r="BA13" s="8">
        <v>0</v>
      </c>
      <c r="BB13" s="8">
        <v>0</v>
      </c>
      <c r="BC13" s="8">
        <v>0</v>
      </c>
      <c r="BD13" s="8">
        <f t="shared" si="10"/>
        <v>4000</v>
      </c>
      <c r="BE13" s="8">
        <f t="shared" si="11"/>
        <v>4000</v>
      </c>
      <c r="BF13" s="8">
        <v>4</v>
      </c>
      <c r="BG13" s="8">
        <v>0</v>
      </c>
      <c r="BH13" s="8">
        <v>0</v>
      </c>
      <c r="BI13" s="8">
        <v>0</v>
      </c>
      <c r="BJ13" s="8">
        <v>0</v>
      </c>
      <c r="BK13" s="8">
        <f t="shared" si="12"/>
        <v>4000</v>
      </c>
      <c r="BL13" s="8">
        <f t="shared" si="13"/>
        <v>4000</v>
      </c>
      <c r="BM13" s="8">
        <v>4</v>
      </c>
      <c r="BN13" s="8">
        <v>0</v>
      </c>
      <c r="BO13" s="8">
        <v>0</v>
      </c>
      <c r="BP13" s="8">
        <f t="shared" si="14"/>
        <v>4000</v>
      </c>
      <c r="BQ13" s="8">
        <f t="shared" si="15"/>
        <v>4000</v>
      </c>
      <c r="BR13" s="8">
        <v>4</v>
      </c>
      <c r="BS13" s="8">
        <v>0</v>
      </c>
      <c r="BT13" s="8">
        <v>0</v>
      </c>
      <c r="BU13" s="8">
        <f t="shared" si="16"/>
        <v>4000</v>
      </c>
      <c r="BV13" s="8">
        <f t="shared" si="17"/>
        <v>4000</v>
      </c>
      <c r="BW13" s="8">
        <v>4</v>
      </c>
      <c r="BX13" s="8">
        <v>0</v>
      </c>
      <c r="BY13" s="8">
        <v>0</v>
      </c>
      <c r="BZ13" s="8">
        <f t="shared" si="18"/>
        <v>4000</v>
      </c>
      <c r="CA13" s="8">
        <f t="shared" si="19"/>
        <v>4000</v>
      </c>
      <c r="CB13" s="8">
        <v>4</v>
      </c>
      <c r="CC13" s="8">
        <v>0</v>
      </c>
      <c r="CD13" s="8">
        <v>0</v>
      </c>
      <c r="CE13" s="8">
        <f t="shared" si="20"/>
        <v>4000</v>
      </c>
      <c r="CF13" s="8">
        <f t="shared" si="21"/>
        <v>4000</v>
      </c>
      <c r="CG13" s="8">
        <v>4</v>
      </c>
      <c r="CH13" s="8">
        <v>0</v>
      </c>
      <c r="CI13" s="8">
        <v>0</v>
      </c>
      <c r="CJ13" s="8">
        <f t="shared" si="22"/>
        <v>4000</v>
      </c>
      <c r="CK13" s="8">
        <f t="shared" si="23"/>
        <v>4000</v>
      </c>
      <c r="CL13" s="8">
        <v>4</v>
      </c>
      <c r="CM13" s="8">
        <v>0</v>
      </c>
      <c r="CN13" s="8">
        <v>0</v>
      </c>
      <c r="CO13" s="8">
        <v>0</v>
      </c>
      <c r="CP13" s="9">
        <f t="shared" si="24"/>
        <v>48000</v>
      </c>
      <c r="CQ13" s="9">
        <f t="shared" si="25"/>
        <v>48000</v>
      </c>
      <c r="CR13" s="8">
        <v>4</v>
      </c>
      <c r="CS13" s="8">
        <v>0</v>
      </c>
      <c r="CT13" s="8">
        <v>0</v>
      </c>
      <c r="CU13" s="8">
        <v>0</v>
      </c>
      <c r="CV13" s="8">
        <f t="shared" si="26"/>
        <v>-48000</v>
      </c>
      <c r="CW13" s="8">
        <f t="shared" si="27"/>
        <v>-48000</v>
      </c>
      <c r="CX13" s="8">
        <v>0</v>
      </c>
      <c r="CY13" s="8">
        <v>0</v>
      </c>
      <c r="CZ13" s="8">
        <v>0</v>
      </c>
      <c r="DA13" s="8">
        <v>0</v>
      </c>
      <c r="DB13" s="8">
        <f t="shared" si="28"/>
        <v>48000</v>
      </c>
      <c r="DC13" s="8">
        <f t="shared" si="29"/>
        <v>48000</v>
      </c>
    </row>
    <row r="14" spans="1:107" s="10" customFormat="1">
      <c r="C14" s="11" t="s">
        <v>105</v>
      </c>
      <c r="D14" s="11" t="s">
        <v>106</v>
      </c>
      <c r="E14" s="11" t="s">
        <v>145</v>
      </c>
      <c r="F14" s="11" t="s">
        <v>146</v>
      </c>
      <c r="G14" s="11" t="s">
        <v>126</v>
      </c>
      <c r="H14" s="11">
        <v>38617002</v>
      </c>
      <c r="I14" s="11">
        <v>5842283202</v>
      </c>
      <c r="J14" s="11" t="s">
        <v>109</v>
      </c>
      <c r="K14" s="11" t="s">
        <v>147</v>
      </c>
      <c r="L14" s="11" t="s">
        <v>147</v>
      </c>
      <c r="M14" s="11" t="s">
        <v>111</v>
      </c>
      <c r="N14" s="11" t="s">
        <v>128</v>
      </c>
      <c r="O14" s="12" t="s">
        <v>113</v>
      </c>
      <c r="P14" s="12" t="s">
        <v>114</v>
      </c>
      <c r="Q14" s="13"/>
      <c r="R14" s="13"/>
      <c r="S14" s="14">
        <v>0</v>
      </c>
      <c r="T14" s="14">
        <v>0</v>
      </c>
      <c r="U14" s="8">
        <f t="shared" si="0"/>
        <v>6000</v>
      </c>
      <c r="V14" s="8">
        <f t="shared" si="1"/>
        <v>6000</v>
      </c>
      <c r="W14" s="14">
        <v>6</v>
      </c>
      <c r="X14" s="14">
        <v>0</v>
      </c>
      <c r="Y14" s="14">
        <v>0</v>
      </c>
      <c r="Z14" s="14">
        <v>0</v>
      </c>
      <c r="AA14" s="14">
        <v>0</v>
      </c>
      <c r="AB14" s="8">
        <f t="shared" si="2"/>
        <v>6000</v>
      </c>
      <c r="AC14" s="8">
        <f t="shared" si="3"/>
        <v>6000</v>
      </c>
      <c r="AD14" s="14">
        <v>6</v>
      </c>
      <c r="AE14" s="14">
        <v>0</v>
      </c>
      <c r="AF14" s="14">
        <v>0</v>
      </c>
      <c r="AG14" s="14">
        <v>0</v>
      </c>
      <c r="AH14" s="8">
        <v>0</v>
      </c>
      <c r="AI14" s="8">
        <f t="shared" si="4"/>
        <v>5000</v>
      </c>
      <c r="AJ14" s="8">
        <f t="shared" si="5"/>
        <v>5000</v>
      </c>
      <c r="AK14" s="14">
        <v>5</v>
      </c>
      <c r="AL14" s="14">
        <v>0</v>
      </c>
      <c r="AM14" s="14">
        <v>0</v>
      </c>
      <c r="AN14" s="14">
        <v>0</v>
      </c>
      <c r="AO14" s="8">
        <v>0</v>
      </c>
      <c r="AP14" s="8">
        <f t="shared" si="6"/>
        <v>8000</v>
      </c>
      <c r="AQ14" s="8">
        <f t="shared" si="7"/>
        <v>8000</v>
      </c>
      <c r="AR14" s="14">
        <v>8</v>
      </c>
      <c r="AS14" s="14">
        <v>0</v>
      </c>
      <c r="AT14" s="14">
        <v>0</v>
      </c>
      <c r="AU14" s="14">
        <v>0</v>
      </c>
      <c r="AV14" s="8">
        <v>0</v>
      </c>
      <c r="AW14" s="8">
        <f t="shared" si="8"/>
        <v>8000</v>
      </c>
      <c r="AX14" s="8">
        <f t="shared" si="9"/>
        <v>8000</v>
      </c>
      <c r="AY14" s="14">
        <v>8</v>
      </c>
      <c r="AZ14" s="14">
        <v>0</v>
      </c>
      <c r="BA14" s="14">
        <v>0</v>
      </c>
      <c r="BB14" s="14">
        <v>0</v>
      </c>
      <c r="BC14" s="8">
        <v>0</v>
      </c>
      <c r="BD14" s="8">
        <f t="shared" si="10"/>
        <v>8000</v>
      </c>
      <c r="BE14" s="8">
        <f t="shared" si="11"/>
        <v>8000</v>
      </c>
      <c r="BF14" s="14">
        <v>8</v>
      </c>
      <c r="BG14" s="14">
        <v>0</v>
      </c>
      <c r="BH14" s="14">
        <v>0</v>
      </c>
      <c r="BI14" s="14">
        <v>0</v>
      </c>
      <c r="BJ14" s="8">
        <v>0</v>
      </c>
      <c r="BK14" s="8">
        <f t="shared" si="12"/>
        <v>8000</v>
      </c>
      <c r="BL14" s="8">
        <f t="shared" si="13"/>
        <v>8000</v>
      </c>
      <c r="BM14" s="14">
        <v>8</v>
      </c>
      <c r="BN14" s="14">
        <v>0</v>
      </c>
      <c r="BO14" s="14">
        <v>0</v>
      </c>
      <c r="BP14" s="8">
        <f t="shared" si="14"/>
        <v>8000</v>
      </c>
      <c r="BQ14" s="8">
        <f t="shared" si="15"/>
        <v>8000</v>
      </c>
      <c r="BR14" s="14">
        <v>8</v>
      </c>
      <c r="BS14" s="14">
        <v>0</v>
      </c>
      <c r="BT14" s="14">
        <v>0</v>
      </c>
      <c r="BU14" s="8">
        <f t="shared" si="16"/>
        <v>8000</v>
      </c>
      <c r="BV14" s="8">
        <f t="shared" si="17"/>
        <v>8000</v>
      </c>
      <c r="BW14" s="14">
        <v>8</v>
      </c>
      <c r="BX14" s="14">
        <v>0</v>
      </c>
      <c r="BY14" s="14">
        <v>0</v>
      </c>
      <c r="BZ14" s="8">
        <f t="shared" si="18"/>
        <v>8000</v>
      </c>
      <c r="CA14" s="8">
        <f t="shared" si="19"/>
        <v>8000</v>
      </c>
      <c r="CB14" s="14">
        <v>8</v>
      </c>
      <c r="CC14" s="14">
        <v>0</v>
      </c>
      <c r="CD14" s="14">
        <v>0</v>
      </c>
      <c r="CE14" s="8">
        <f t="shared" si="20"/>
        <v>8000</v>
      </c>
      <c r="CF14" s="8">
        <f t="shared" si="21"/>
        <v>8000</v>
      </c>
      <c r="CG14" s="14">
        <v>8</v>
      </c>
      <c r="CH14" s="14">
        <v>0</v>
      </c>
      <c r="CI14" s="14">
        <v>0</v>
      </c>
      <c r="CJ14" s="8">
        <f t="shared" si="22"/>
        <v>8000</v>
      </c>
      <c r="CK14" s="8">
        <f t="shared" si="23"/>
        <v>8000</v>
      </c>
      <c r="CL14" s="14">
        <v>8</v>
      </c>
      <c r="CM14" s="14">
        <v>0</v>
      </c>
      <c r="CN14" s="14">
        <v>0</v>
      </c>
      <c r="CO14" s="14">
        <v>0</v>
      </c>
      <c r="CP14" s="9">
        <f t="shared" si="24"/>
        <v>89000</v>
      </c>
      <c r="CQ14" s="9">
        <f t="shared" si="25"/>
        <v>89000</v>
      </c>
      <c r="CR14" s="14">
        <v>7.4</v>
      </c>
      <c r="CS14" s="14">
        <v>0</v>
      </c>
      <c r="CT14" s="14">
        <v>0</v>
      </c>
      <c r="CU14" s="14">
        <v>0</v>
      </c>
      <c r="CV14" s="8">
        <f t="shared" si="26"/>
        <v>-89000</v>
      </c>
      <c r="CW14" s="8">
        <f t="shared" si="27"/>
        <v>-89000</v>
      </c>
      <c r="CX14" s="14">
        <v>0</v>
      </c>
      <c r="CY14" s="14">
        <v>0</v>
      </c>
      <c r="CZ14" s="14">
        <v>0</v>
      </c>
      <c r="DA14" s="14">
        <v>0</v>
      </c>
      <c r="DB14" s="8">
        <f t="shared" si="28"/>
        <v>89000</v>
      </c>
      <c r="DC14" s="8">
        <f t="shared" si="29"/>
        <v>89000</v>
      </c>
    </row>
    <row r="15" spans="1:107" s="4" customFormat="1">
      <c r="C15" s="5" t="s">
        <v>105</v>
      </c>
      <c r="D15" s="5" t="s">
        <v>106</v>
      </c>
      <c r="E15" s="5" t="s">
        <v>148</v>
      </c>
      <c r="F15" s="5" t="s">
        <v>149</v>
      </c>
      <c r="G15" s="5"/>
      <c r="H15" s="5">
        <v>38617004</v>
      </c>
      <c r="I15" s="5">
        <v>5841813202</v>
      </c>
      <c r="J15" s="5" t="s">
        <v>109</v>
      </c>
      <c r="K15" s="5" t="s">
        <v>150</v>
      </c>
      <c r="L15" s="5" t="s">
        <v>150</v>
      </c>
      <c r="M15" s="5" t="s">
        <v>111</v>
      </c>
      <c r="N15" s="5" t="s">
        <v>128</v>
      </c>
      <c r="O15" s="6" t="s">
        <v>113</v>
      </c>
      <c r="P15" s="6" t="s">
        <v>114</v>
      </c>
      <c r="Q15" s="7"/>
      <c r="R15" s="7"/>
      <c r="S15" s="8">
        <v>0</v>
      </c>
      <c r="T15" s="8">
        <v>0</v>
      </c>
      <c r="U15" s="8">
        <f t="shared" si="0"/>
        <v>4000</v>
      </c>
      <c r="V15" s="8">
        <f t="shared" si="1"/>
        <v>4000</v>
      </c>
      <c r="W15" s="8">
        <v>4</v>
      </c>
      <c r="X15" s="8">
        <v>0</v>
      </c>
      <c r="Y15" s="8">
        <v>0</v>
      </c>
      <c r="Z15" s="8">
        <v>0</v>
      </c>
      <c r="AA15" s="8">
        <v>0</v>
      </c>
      <c r="AB15" s="8">
        <f t="shared" si="2"/>
        <v>7000</v>
      </c>
      <c r="AC15" s="8">
        <f t="shared" si="3"/>
        <v>7000</v>
      </c>
      <c r="AD15" s="8">
        <v>7</v>
      </c>
      <c r="AE15" s="8">
        <v>0</v>
      </c>
      <c r="AF15" s="8">
        <v>0</v>
      </c>
      <c r="AG15" s="8">
        <v>0</v>
      </c>
      <c r="AH15" s="8">
        <v>0</v>
      </c>
      <c r="AI15" s="8">
        <f t="shared" si="4"/>
        <v>6000</v>
      </c>
      <c r="AJ15" s="8">
        <f t="shared" si="5"/>
        <v>6000</v>
      </c>
      <c r="AK15" s="8">
        <v>6</v>
      </c>
      <c r="AL15" s="8">
        <v>0</v>
      </c>
      <c r="AM15" s="8">
        <v>0</v>
      </c>
      <c r="AN15" s="8">
        <v>0</v>
      </c>
      <c r="AO15" s="8">
        <v>0</v>
      </c>
      <c r="AP15" s="8">
        <f t="shared" si="6"/>
        <v>6000</v>
      </c>
      <c r="AQ15" s="8">
        <f t="shared" si="7"/>
        <v>6000</v>
      </c>
      <c r="AR15" s="8">
        <v>6</v>
      </c>
      <c r="AS15" s="8">
        <v>0</v>
      </c>
      <c r="AT15" s="8">
        <v>0</v>
      </c>
      <c r="AU15" s="8">
        <v>0</v>
      </c>
      <c r="AV15" s="8">
        <v>0</v>
      </c>
      <c r="AW15" s="8">
        <f t="shared" si="8"/>
        <v>6000</v>
      </c>
      <c r="AX15" s="8">
        <f t="shared" si="9"/>
        <v>6000</v>
      </c>
      <c r="AY15" s="8">
        <v>6</v>
      </c>
      <c r="AZ15" s="8">
        <v>0</v>
      </c>
      <c r="BA15" s="8">
        <v>0</v>
      </c>
      <c r="BB15" s="8">
        <v>0</v>
      </c>
      <c r="BC15" s="8">
        <v>0</v>
      </c>
      <c r="BD15" s="8">
        <f t="shared" si="10"/>
        <v>8000</v>
      </c>
      <c r="BE15" s="8">
        <f t="shared" si="11"/>
        <v>8000</v>
      </c>
      <c r="BF15" s="8">
        <v>8</v>
      </c>
      <c r="BG15" s="8">
        <v>0</v>
      </c>
      <c r="BH15" s="8">
        <v>0</v>
      </c>
      <c r="BI15" s="8">
        <v>0</v>
      </c>
      <c r="BJ15" s="8">
        <v>0</v>
      </c>
      <c r="BK15" s="8">
        <f t="shared" si="12"/>
        <v>8000</v>
      </c>
      <c r="BL15" s="8">
        <f t="shared" si="13"/>
        <v>8000</v>
      </c>
      <c r="BM15" s="8">
        <v>8</v>
      </c>
      <c r="BN15" s="8">
        <v>0</v>
      </c>
      <c r="BO15" s="8">
        <v>0</v>
      </c>
      <c r="BP15" s="8">
        <f t="shared" si="14"/>
        <v>7000</v>
      </c>
      <c r="BQ15" s="8">
        <f t="shared" si="15"/>
        <v>7000</v>
      </c>
      <c r="BR15" s="8">
        <v>7</v>
      </c>
      <c r="BS15" s="8">
        <v>0</v>
      </c>
      <c r="BT15" s="8">
        <v>0</v>
      </c>
      <c r="BU15" s="8">
        <f t="shared" si="16"/>
        <v>5000</v>
      </c>
      <c r="BV15" s="8">
        <f t="shared" si="17"/>
        <v>5000</v>
      </c>
      <c r="BW15" s="8">
        <v>5</v>
      </c>
      <c r="BX15" s="8">
        <v>0</v>
      </c>
      <c r="BY15" s="8">
        <v>0</v>
      </c>
      <c r="BZ15" s="8">
        <f t="shared" si="18"/>
        <v>5000</v>
      </c>
      <c r="CA15" s="8">
        <f t="shared" si="19"/>
        <v>5000</v>
      </c>
      <c r="CB15" s="8">
        <v>5</v>
      </c>
      <c r="CC15" s="8">
        <v>0</v>
      </c>
      <c r="CD15" s="8">
        <v>0</v>
      </c>
      <c r="CE15" s="8">
        <f t="shared" si="20"/>
        <v>5000</v>
      </c>
      <c r="CF15" s="8">
        <f t="shared" si="21"/>
        <v>5000</v>
      </c>
      <c r="CG15" s="8">
        <v>5</v>
      </c>
      <c r="CH15" s="8">
        <v>0</v>
      </c>
      <c r="CI15" s="8">
        <v>0</v>
      </c>
      <c r="CJ15" s="8">
        <f t="shared" si="22"/>
        <v>5000</v>
      </c>
      <c r="CK15" s="8">
        <f t="shared" si="23"/>
        <v>5000</v>
      </c>
      <c r="CL15" s="8">
        <v>5</v>
      </c>
      <c r="CM15" s="8">
        <v>0</v>
      </c>
      <c r="CN15" s="8">
        <v>0</v>
      </c>
      <c r="CO15" s="8">
        <v>0</v>
      </c>
      <c r="CP15" s="9">
        <f t="shared" si="24"/>
        <v>72000</v>
      </c>
      <c r="CQ15" s="9">
        <f t="shared" si="25"/>
        <v>72000</v>
      </c>
      <c r="CR15" s="8">
        <v>6</v>
      </c>
      <c r="CS15" s="8">
        <v>0</v>
      </c>
      <c r="CT15" s="8">
        <v>0</v>
      </c>
      <c r="CU15" s="8">
        <v>0</v>
      </c>
      <c r="CV15" s="8">
        <f t="shared" si="26"/>
        <v>-72000</v>
      </c>
      <c r="CW15" s="8">
        <f t="shared" si="27"/>
        <v>-72000</v>
      </c>
      <c r="CX15" s="8">
        <v>0</v>
      </c>
      <c r="CY15" s="8">
        <v>0</v>
      </c>
      <c r="CZ15" s="8">
        <v>0</v>
      </c>
      <c r="DA15" s="8">
        <v>0</v>
      </c>
      <c r="DB15" s="8">
        <f t="shared" si="28"/>
        <v>72000</v>
      </c>
      <c r="DC15" s="8">
        <f t="shared" si="29"/>
        <v>72000</v>
      </c>
    </row>
    <row r="16" spans="1:107" s="10" customFormat="1">
      <c r="C16" s="11" t="s">
        <v>105</v>
      </c>
      <c r="D16" s="11" t="s">
        <v>106</v>
      </c>
      <c r="E16" s="11" t="s">
        <v>145</v>
      </c>
      <c r="F16" s="11" t="s">
        <v>151</v>
      </c>
      <c r="G16" s="11"/>
      <c r="H16" s="11">
        <v>38617005</v>
      </c>
      <c r="I16" s="11">
        <v>5841843202</v>
      </c>
      <c r="J16" s="11" t="s">
        <v>109</v>
      </c>
      <c r="K16" s="11" t="s">
        <v>152</v>
      </c>
      <c r="L16" s="11" t="s">
        <v>152</v>
      </c>
      <c r="M16" s="11" t="s">
        <v>111</v>
      </c>
      <c r="N16" s="11" t="s">
        <v>128</v>
      </c>
      <c r="O16" s="12" t="s">
        <v>113</v>
      </c>
      <c r="P16" s="12" t="s">
        <v>114</v>
      </c>
      <c r="Q16" s="13"/>
      <c r="R16" s="13"/>
      <c r="S16" s="14">
        <v>0</v>
      </c>
      <c r="T16" s="14">
        <v>0</v>
      </c>
      <c r="U16" s="8">
        <f t="shared" si="0"/>
        <v>3000</v>
      </c>
      <c r="V16" s="8">
        <f t="shared" si="1"/>
        <v>3000</v>
      </c>
      <c r="W16" s="14">
        <v>3</v>
      </c>
      <c r="X16" s="14">
        <v>0</v>
      </c>
      <c r="Y16" s="14">
        <v>0</v>
      </c>
      <c r="Z16" s="14">
        <v>0</v>
      </c>
      <c r="AA16" s="14">
        <v>0</v>
      </c>
      <c r="AB16" s="8">
        <f t="shared" si="2"/>
        <v>3000</v>
      </c>
      <c r="AC16" s="8">
        <f t="shared" si="3"/>
        <v>3000</v>
      </c>
      <c r="AD16" s="14">
        <v>3</v>
      </c>
      <c r="AE16" s="14">
        <v>0</v>
      </c>
      <c r="AF16" s="14">
        <v>0</v>
      </c>
      <c r="AG16" s="14">
        <v>0</v>
      </c>
      <c r="AH16" s="8">
        <v>0</v>
      </c>
      <c r="AI16" s="8">
        <f t="shared" si="4"/>
        <v>3000</v>
      </c>
      <c r="AJ16" s="8">
        <f t="shared" si="5"/>
        <v>3000</v>
      </c>
      <c r="AK16" s="14">
        <v>3</v>
      </c>
      <c r="AL16" s="14">
        <v>0</v>
      </c>
      <c r="AM16" s="14">
        <v>0</v>
      </c>
      <c r="AN16" s="14">
        <v>0</v>
      </c>
      <c r="AO16" s="8">
        <v>0</v>
      </c>
      <c r="AP16" s="8">
        <f t="shared" si="6"/>
        <v>3000</v>
      </c>
      <c r="AQ16" s="8">
        <f t="shared" si="7"/>
        <v>3000</v>
      </c>
      <c r="AR16" s="14">
        <v>3</v>
      </c>
      <c r="AS16" s="14">
        <v>0</v>
      </c>
      <c r="AT16" s="14">
        <v>0</v>
      </c>
      <c r="AU16" s="14">
        <v>0</v>
      </c>
      <c r="AV16" s="8">
        <v>0</v>
      </c>
      <c r="AW16" s="8">
        <f t="shared" si="8"/>
        <v>3000</v>
      </c>
      <c r="AX16" s="8">
        <f t="shared" si="9"/>
        <v>3000</v>
      </c>
      <c r="AY16" s="14">
        <v>3</v>
      </c>
      <c r="AZ16" s="14">
        <v>0</v>
      </c>
      <c r="BA16" s="14">
        <v>0</v>
      </c>
      <c r="BB16" s="14">
        <v>0</v>
      </c>
      <c r="BC16" s="8">
        <v>0</v>
      </c>
      <c r="BD16" s="8">
        <f t="shared" si="10"/>
        <v>3000</v>
      </c>
      <c r="BE16" s="8">
        <f t="shared" si="11"/>
        <v>3000</v>
      </c>
      <c r="BF16" s="14">
        <v>3</v>
      </c>
      <c r="BG16" s="14">
        <v>0</v>
      </c>
      <c r="BH16" s="14">
        <v>0</v>
      </c>
      <c r="BI16" s="14">
        <v>0</v>
      </c>
      <c r="BJ16" s="8">
        <v>0</v>
      </c>
      <c r="BK16" s="8">
        <f t="shared" si="12"/>
        <v>3000</v>
      </c>
      <c r="BL16" s="8">
        <f t="shared" si="13"/>
        <v>3000</v>
      </c>
      <c r="BM16" s="14">
        <v>3</v>
      </c>
      <c r="BN16" s="14">
        <v>0</v>
      </c>
      <c r="BO16" s="14">
        <v>0</v>
      </c>
      <c r="BP16" s="8">
        <f t="shared" si="14"/>
        <v>3000</v>
      </c>
      <c r="BQ16" s="8">
        <f t="shared" si="15"/>
        <v>3000</v>
      </c>
      <c r="BR16" s="14">
        <v>3</v>
      </c>
      <c r="BS16" s="14">
        <v>0</v>
      </c>
      <c r="BT16" s="14">
        <v>0</v>
      </c>
      <c r="BU16" s="8">
        <f t="shared" si="16"/>
        <v>4000</v>
      </c>
      <c r="BV16" s="8">
        <f t="shared" si="17"/>
        <v>4000</v>
      </c>
      <c r="BW16" s="14">
        <v>4</v>
      </c>
      <c r="BX16" s="14">
        <v>0</v>
      </c>
      <c r="BY16" s="14">
        <v>0</v>
      </c>
      <c r="BZ16" s="8">
        <f t="shared" si="18"/>
        <v>4000</v>
      </c>
      <c r="CA16" s="8">
        <f t="shared" si="19"/>
        <v>4000</v>
      </c>
      <c r="CB16" s="14">
        <v>4</v>
      </c>
      <c r="CC16" s="14">
        <v>0</v>
      </c>
      <c r="CD16" s="14">
        <v>0</v>
      </c>
      <c r="CE16" s="8">
        <f t="shared" si="20"/>
        <v>4000</v>
      </c>
      <c r="CF16" s="8">
        <f t="shared" si="21"/>
        <v>4000</v>
      </c>
      <c r="CG16" s="14">
        <v>4</v>
      </c>
      <c r="CH16" s="14">
        <v>0</v>
      </c>
      <c r="CI16" s="14">
        <v>0</v>
      </c>
      <c r="CJ16" s="8">
        <f t="shared" si="22"/>
        <v>4000</v>
      </c>
      <c r="CK16" s="8">
        <f t="shared" si="23"/>
        <v>4000</v>
      </c>
      <c r="CL16" s="14">
        <v>4</v>
      </c>
      <c r="CM16" s="14">
        <v>0</v>
      </c>
      <c r="CN16" s="14">
        <v>0</v>
      </c>
      <c r="CO16" s="14">
        <v>0</v>
      </c>
      <c r="CP16" s="9">
        <f t="shared" si="24"/>
        <v>40000</v>
      </c>
      <c r="CQ16" s="9">
        <f t="shared" si="25"/>
        <v>40000</v>
      </c>
      <c r="CR16" s="14">
        <v>3.3</v>
      </c>
      <c r="CS16" s="14">
        <v>0</v>
      </c>
      <c r="CT16" s="14">
        <v>0</v>
      </c>
      <c r="CU16" s="14">
        <v>0</v>
      </c>
      <c r="CV16" s="8">
        <f t="shared" si="26"/>
        <v>-40000</v>
      </c>
      <c r="CW16" s="8">
        <f t="shared" si="27"/>
        <v>-40000</v>
      </c>
      <c r="CX16" s="14">
        <v>0</v>
      </c>
      <c r="CY16" s="14">
        <v>0</v>
      </c>
      <c r="CZ16" s="14">
        <v>0</v>
      </c>
      <c r="DA16" s="14">
        <v>0</v>
      </c>
      <c r="DB16" s="8">
        <f t="shared" si="28"/>
        <v>40000</v>
      </c>
      <c r="DC16" s="8">
        <f t="shared" si="29"/>
        <v>40000</v>
      </c>
    </row>
    <row r="17" spans="1:107" s="4" customFormat="1">
      <c r="C17" s="5" t="s">
        <v>105</v>
      </c>
      <c r="D17" s="5" t="s">
        <v>106</v>
      </c>
      <c r="E17" s="5" t="s">
        <v>115</v>
      </c>
      <c r="F17" s="5" t="s">
        <v>153</v>
      </c>
      <c r="G17" s="5" t="s">
        <v>126</v>
      </c>
      <c r="H17" s="5">
        <v>38617007</v>
      </c>
      <c r="I17" s="5">
        <v>5842073202</v>
      </c>
      <c r="J17" s="5" t="s">
        <v>109</v>
      </c>
      <c r="K17" s="5" t="s">
        <v>154</v>
      </c>
      <c r="L17" s="5" t="s">
        <v>154</v>
      </c>
      <c r="M17" s="5" t="s">
        <v>111</v>
      </c>
      <c r="N17" s="5" t="s">
        <v>128</v>
      </c>
      <c r="O17" s="6" t="s">
        <v>113</v>
      </c>
      <c r="P17" s="6" t="s">
        <v>114</v>
      </c>
      <c r="Q17" s="7"/>
      <c r="R17" s="7"/>
      <c r="S17" s="8">
        <v>0</v>
      </c>
      <c r="T17" s="8">
        <v>0</v>
      </c>
      <c r="U17" s="8">
        <f t="shared" si="0"/>
        <v>6000</v>
      </c>
      <c r="V17" s="8">
        <f t="shared" si="1"/>
        <v>6000</v>
      </c>
      <c r="W17" s="8">
        <v>6</v>
      </c>
      <c r="X17" s="8">
        <v>0</v>
      </c>
      <c r="Y17" s="8">
        <v>0</v>
      </c>
      <c r="Z17" s="8">
        <v>0</v>
      </c>
      <c r="AA17" s="8">
        <v>0</v>
      </c>
      <c r="AB17" s="8">
        <f t="shared" si="2"/>
        <v>6000</v>
      </c>
      <c r="AC17" s="8">
        <f t="shared" si="3"/>
        <v>6000</v>
      </c>
      <c r="AD17" s="8">
        <v>6</v>
      </c>
      <c r="AE17" s="8">
        <v>0</v>
      </c>
      <c r="AF17" s="8">
        <v>0</v>
      </c>
      <c r="AG17" s="8">
        <v>0</v>
      </c>
      <c r="AH17" s="8">
        <v>0</v>
      </c>
      <c r="AI17" s="8">
        <f t="shared" si="4"/>
        <v>6000</v>
      </c>
      <c r="AJ17" s="8">
        <f t="shared" si="5"/>
        <v>6000</v>
      </c>
      <c r="AK17" s="8">
        <v>6</v>
      </c>
      <c r="AL17" s="8">
        <v>0</v>
      </c>
      <c r="AM17" s="8">
        <v>0</v>
      </c>
      <c r="AN17" s="8">
        <v>0</v>
      </c>
      <c r="AO17" s="8">
        <v>0</v>
      </c>
      <c r="AP17" s="8">
        <f t="shared" si="6"/>
        <v>6000</v>
      </c>
      <c r="AQ17" s="8">
        <f t="shared" si="7"/>
        <v>6000</v>
      </c>
      <c r="AR17" s="8">
        <v>6</v>
      </c>
      <c r="AS17" s="8">
        <v>0</v>
      </c>
      <c r="AT17" s="8">
        <v>0</v>
      </c>
      <c r="AU17" s="8">
        <v>0</v>
      </c>
      <c r="AV17" s="8">
        <v>0</v>
      </c>
      <c r="AW17" s="8">
        <f t="shared" si="8"/>
        <v>6000</v>
      </c>
      <c r="AX17" s="8">
        <f t="shared" si="9"/>
        <v>6000</v>
      </c>
      <c r="AY17" s="8">
        <v>6</v>
      </c>
      <c r="AZ17" s="8">
        <v>0</v>
      </c>
      <c r="BA17" s="8">
        <v>0</v>
      </c>
      <c r="BB17" s="8">
        <v>0</v>
      </c>
      <c r="BC17" s="8">
        <v>0</v>
      </c>
      <c r="BD17" s="8">
        <f t="shared" si="10"/>
        <v>6000</v>
      </c>
      <c r="BE17" s="8">
        <f t="shared" si="11"/>
        <v>6000</v>
      </c>
      <c r="BF17" s="8">
        <v>6</v>
      </c>
      <c r="BG17" s="8">
        <v>0</v>
      </c>
      <c r="BH17" s="8">
        <v>0</v>
      </c>
      <c r="BI17" s="8">
        <v>0</v>
      </c>
      <c r="BJ17" s="8">
        <v>0</v>
      </c>
      <c r="BK17" s="8">
        <f t="shared" si="12"/>
        <v>6000</v>
      </c>
      <c r="BL17" s="8">
        <f t="shared" si="13"/>
        <v>6000</v>
      </c>
      <c r="BM17" s="8">
        <v>6</v>
      </c>
      <c r="BN17" s="8">
        <v>0</v>
      </c>
      <c r="BO17" s="8">
        <v>0</v>
      </c>
      <c r="BP17" s="8">
        <f t="shared" si="14"/>
        <v>6000</v>
      </c>
      <c r="BQ17" s="8">
        <f t="shared" si="15"/>
        <v>6000</v>
      </c>
      <c r="BR17" s="8">
        <v>6</v>
      </c>
      <c r="BS17" s="8">
        <v>0</v>
      </c>
      <c r="BT17" s="8">
        <v>0</v>
      </c>
      <c r="BU17" s="8">
        <f t="shared" si="16"/>
        <v>6000</v>
      </c>
      <c r="BV17" s="8">
        <f t="shared" si="17"/>
        <v>6000</v>
      </c>
      <c r="BW17" s="8">
        <v>6</v>
      </c>
      <c r="BX17" s="8">
        <v>0</v>
      </c>
      <c r="BY17" s="8">
        <v>0</v>
      </c>
      <c r="BZ17" s="8">
        <f t="shared" si="18"/>
        <v>6000</v>
      </c>
      <c r="CA17" s="8">
        <f t="shared" si="19"/>
        <v>6000</v>
      </c>
      <c r="CB17" s="8">
        <v>6</v>
      </c>
      <c r="CC17" s="8">
        <v>0</v>
      </c>
      <c r="CD17" s="8">
        <v>0</v>
      </c>
      <c r="CE17" s="8">
        <f t="shared" si="20"/>
        <v>6000</v>
      </c>
      <c r="CF17" s="8">
        <f t="shared" si="21"/>
        <v>6000</v>
      </c>
      <c r="CG17" s="8">
        <v>6</v>
      </c>
      <c r="CH17" s="8">
        <v>0</v>
      </c>
      <c r="CI17" s="8">
        <v>0</v>
      </c>
      <c r="CJ17" s="8">
        <f t="shared" si="22"/>
        <v>6000</v>
      </c>
      <c r="CK17" s="8">
        <f t="shared" si="23"/>
        <v>6000</v>
      </c>
      <c r="CL17" s="8">
        <v>6</v>
      </c>
      <c r="CM17" s="8">
        <v>0</v>
      </c>
      <c r="CN17" s="8">
        <v>0</v>
      </c>
      <c r="CO17" s="8">
        <v>0</v>
      </c>
      <c r="CP17" s="9">
        <f t="shared" si="24"/>
        <v>72000</v>
      </c>
      <c r="CQ17" s="9">
        <f t="shared" si="25"/>
        <v>72000</v>
      </c>
      <c r="CR17" s="8">
        <v>6</v>
      </c>
      <c r="CS17" s="8">
        <v>0</v>
      </c>
      <c r="CT17" s="8">
        <v>0</v>
      </c>
      <c r="CU17" s="8">
        <v>0</v>
      </c>
      <c r="CV17" s="8">
        <f t="shared" si="26"/>
        <v>-72000</v>
      </c>
      <c r="CW17" s="8">
        <f t="shared" si="27"/>
        <v>-72000</v>
      </c>
      <c r="CX17" s="8">
        <v>0</v>
      </c>
      <c r="CY17" s="8">
        <v>0</v>
      </c>
      <c r="CZ17" s="8">
        <v>0</v>
      </c>
      <c r="DA17" s="8">
        <v>0</v>
      </c>
      <c r="DB17" s="8">
        <f t="shared" si="28"/>
        <v>72000</v>
      </c>
      <c r="DC17" s="8">
        <f t="shared" si="29"/>
        <v>72000</v>
      </c>
    </row>
    <row r="18" spans="1:107" s="10" customFormat="1">
      <c r="C18" s="11" t="s">
        <v>105</v>
      </c>
      <c r="D18" s="11" t="s">
        <v>106</v>
      </c>
      <c r="E18" s="11" t="s">
        <v>124</v>
      </c>
      <c r="F18" s="11" t="s">
        <v>155</v>
      </c>
      <c r="G18" s="11"/>
      <c r="H18" s="11">
        <v>38617008</v>
      </c>
      <c r="I18" s="11">
        <v>5841813202</v>
      </c>
      <c r="J18" s="11" t="s">
        <v>109</v>
      </c>
      <c r="K18" s="11" t="s">
        <v>156</v>
      </c>
      <c r="L18" s="11" t="s">
        <v>156</v>
      </c>
      <c r="M18" s="11" t="s">
        <v>111</v>
      </c>
      <c r="N18" s="11" t="s">
        <v>128</v>
      </c>
      <c r="O18" s="12" t="s">
        <v>113</v>
      </c>
      <c r="P18" s="12" t="s">
        <v>114</v>
      </c>
      <c r="Q18" s="13"/>
      <c r="R18" s="13"/>
      <c r="S18" s="14">
        <v>0</v>
      </c>
      <c r="T18" s="14">
        <v>0</v>
      </c>
      <c r="U18" s="8">
        <f t="shared" si="0"/>
        <v>4000</v>
      </c>
      <c r="V18" s="8">
        <f t="shared" si="1"/>
        <v>4000</v>
      </c>
      <c r="W18" s="14">
        <v>4</v>
      </c>
      <c r="X18" s="14">
        <v>0</v>
      </c>
      <c r="Y18" s="14">
        <v>0</v>
      </c>
      <c r="Z18" s="14">
        <v>0</v>
      </c>
      <c r="AA18" s="14">
        <v>0</v>
      </c>
      <c r="AB18" s="8">
        <f t="shared" si="2"/>
        <v>4000</v>
      </c>
      <c r="AC18" s="8">
        <f t="shared" si="3"/>
        <v>4000</v>
      </c>
      <c r="AD18" s="14">
        <v>4</v>
      </c>
      <c r="AE18" s="14">
        <v>0</v>
      </c>
      <c r="AF18" s="14">
        <v>0</v>
      </c>
      <c r="AG18" s="14">
        <v>0</v>
      </c>
      <c r="AH18" s="8">
        <v>0</v>
      </c>
      <c r="AI18" s="8">
        <f t="shared" si="4"/>
        <v>4000</v>
      </c>
      <c r="AJ18" s="8">
        <f t="shared" si="5"/>
        <v>4000</v>
      </c>
      <c r="AK18" s="14">
        <v>4</v>
      </c>
      <c r="AL18" s="14">
        <v>0</v>
      </c>
      <c r="AM18" s="14">
        <v>0</v>
      </c>
      <c r="AN18" s="14">
        <v>0</v>
      </c>
      <c r="AO18" s="8">
        <v>0</v>
      </c>
      <c r="AP18" s="8">
        <f t="shared" si="6"/>
        <v>4000</v>
      </c>
      <c r="AQ18" s="8">
        <f t="shared" si="7"/>
        <v>4000</v>
      </c>
      <c r="AR18" s="14">
        <v>4</v>
      </c>
      <c r="AS18" s="14">
        <v>0</v>
      </c>
      <c r="AT18" s="14">
        <v>0</v>
      </c>
      <c r="AU18" s="14">
        <v>0</v>
      </c>
      <c r="AV18" s="8">
        <v>0</v>
      </c>
      <c r="AW18" s="8">
        <f t="shared" si="8"/>
        <v>4000</v>
      </c>
      <c r="AX18" s="8">
        <f t="shared" si="9"/>
        <v>4000</v>
      </c>
      <c r="AY18" s="14">
        <v>4</v>
      </c>
      <c r="AZ18" s="14">
        <v>0</v>
      </c>
      <c r="BA18" s="14">
        <v>0</v>
      </c>
      <c r="BB18" s="14">
        <v>0</v>
      </c>
      <c r="BC18" s="8">
        <v>0</v>
      </c>
      <c r="BD18" s="8">
        <f t="shared" si="10"/>
        <v>4000</v>
      </c>
      <c r="BE18" s="8">
        <f t="shared" si="11"/>
        <v>4000</v>
      </c>
      <c r="BF18" s="14">
        <v>4</v>
      </c>
      <c r="BG18" s="14">
        <v>0</v>
      </c>
      <c r="BH18" s="14">
        <v>0</v>
      </c>
      <c r="BI18" s="14">
        <v>0</v>
      </c>
      <c r="BJ18" s="8">
        <v>0</v>
      </c>
      <c r="BK18" s="8">
        <f t="shared" si="12"/>
        <v>4000</v>
      </c>
      <c r="BL18" s="8">
        <f t="shared" si="13"/>
        <v>4000</v>
      </c>
      <c r="BM18" s="14">
        <v>4</v>
      </c>
      <c r="BN18" s="14">
        <v>0</v>
      </c>
      <c r="BO18" s="14">
        <v>0</v>
      </c>
      <c r="BP18" s="8">
        <f t="shared" si="14"/>
        <v>4000</v>
      </c>
      <c r="BQ18" s="8">
        <f t="shared" si="15"/>
        <v>4000</v>
      </c>
      <c r="BR18" s="14">
        <v>4</v>
      </c>
      <c r="BS18" s="14">
        <v>0</v>
      </c>
      <c r="BT18" s="14">
        <v>0</v>
      </c>
      <c r="BU18" s="8">
        <f t="shared" si="16"/>
        <v>4000</v>
      </c>
      <c r="BV18" s="8">
        <f t="shared" si="17"/>
        <v>4000</v>
      </c>
      <c r="BW18" s="14">
        <v>4</v>
      </c>
      <c r="BX18" s="14">
        <v>0</v>
      </c>
      <c r="BY18" s="14">
        <v>0</v>
      </c>
      <c r="BZ18" s="8">
        <f t="shared" si="18"/>
        <v>4000</v>
      </c>
      <c r="CA18" s="8">
        <f t="shared" si="19"/>
        <v>4000</v>
      </c>
      <c r="CB18" s="14">
        <v>4</v>
      </c>
      <c r="CC18" s="14">
        <v>0</v>
      </c>
      <c r="CD18" s="14">
        <v>0</v>
      </c>
      <c r="CE18" s="8">
        <f t="shared" si="20"/>
        <v>4000</v>
      </c>
      <c r="CF18" s="8">
        <f t="shared" si="21"/>
        <v>4000</v>
      </c>
      <c r="CG18" s="14">
        <v>4</v>
      </c>
      <c r="CH18" s="14">
        <v>0</v>
      </c>
      <c r="CI18" s="14">
        <v>0</v>
      </c>
      <c r="CJ18" s="8">
        <f t="shared" si="22"/>
        <v>4000</v>
      </c>
      <c r="CK18" s="8">
        <f t="shared" si="23"/>
        <v>4000</v>
      </c>
      <c r="CL18" s="14">
        <v>4</v>
      </c>
      <c r="CM18" s="14">
        <v>0</v>
      </c>
      <c r="CN18" s="14">
        <v>0</v>
      </c>
      <c r="CO18" s="14">
        <v>0</v>
      </c>
      <c r="CP18" s="9">
        <f t="shared" si="24"/>
        <v>48000</v>
      </c>
      <c r="CQ18" s="9">
        <f t="shared" si="25"/>
        <v>48000</v>
      </c>
      <c r="CR18" s="14">
        <v>4</v>
      </c>
      <c r="CS18" s="14">
        <v>0</v>
      </c>
      <c r="CT18" s="14">
        <v>0</v>
      </c>
      <c r="CU18" s="14">
        <v>0</v>
      </c>
      <c r="CV18" s="8">
        <f t="shared" si="26"/>
        <v>-48000</v>
      </c>
      <c r="CW18" s="8">
        <f t="shared" si="27"/>
        <v>-48000</v>
      </c>
      <c r="CX18" s="14">
        <v>0</v>
      </c>
      <c r="CY18" s="14">
        <v>0</v>
      </c>
      <c r="CZ18" s="14">
        <v>0</v>
      </c>
      <c r="DA18" s="14">
        <v>0</v>
      </c>
      <c r="DB18" s="8">
        <f t="shared" si="28"/>
        <v>48000</v>
      </c>
      <c r="DC18" s="8">
        <f t="shared" si="29"/>
        <v>48000</v>
      </c>
    </row>
    <row r="19" spans="1:107" s="4" customFormat="1">
      <c r="C19" s="5" t="s">
        <v>105</v>
      </c>
      <c r="D19" s="5" t="s">
        <v>106</v>
      </c>
      <c r="E19" s="5" t="s">
        <v>124</v>
      </c>
      <c r="F19" s="5" t="s">
        <v>157</v>
      </c>
      <c r="G19" s="5"/>
      <c r="H19" s="5" t="s">
        <v>158</v>
      </c>
      <c r="I19" s="5" t="s">
        <v>158</v>
      </c>
      <c r="J19" s="5" t="s">
        <v>109</v>
      </c>
      <c r="K19" s="5" t="s">
        <v>158</v>
      </c>
      <c r="L19" s="5" t="s">
        <v>158</v>
      </c>
      <c r="M19" s="5" t="s">
        <v>159</v>
      </c>
      <c r="N19" s="5" t="s">
        <v>159</v>
      </c>
      <c r="O19" s="6" t="s">
        <v>159</v>
      </c>
      <c r="P19" s="6"/>
      <c r="Q19" s="7"/>
      <c r="R19" s="7"/>
      <c r="S19" s="8">
        <v>0</v>
      </c>
      <c r="T19" s="8">
        <v>0</v>
      </c>
      <c r="U19" s="8">
        <f t="shared" si="0"/>
        <v>0</v>
      </c>
      <c r="V19" s="8">
        <f t="shared" si="1"/>
        <v>0</v>
      </c>
      <c r="W19" s="8">
        <v>0</v>
      </c>
      <c r="X19" s="8">
        <v>0</v>
      </c>
      <c r="Y19" s="8">
        <v>0</v>
      </c>
      <c r="Z19" s="8">
        <v>0</v>
      </c>
      <c r="AA19" s="8">
        <v>0</v>
      </c>
      <c r="AB19" s="8">
        <f t="shared" si="2"/>
        <v>0</v>
      </c>
      <c r="AC19" s="8">
        <f t="shared" si="3"/>
        <v>0</v>
      </c>
      <c r="AD19" s="8">
        <v>0</v>
      </c>
      <c r="AE19" s="8">
        <v>0</v>
      </c>
      <c r="AF19" s="8">
        <v>0</v>
      </c>
      <c r="AG19" s="8">
        <v>0</v>
      </c>
      <c r="AH19" s="8">
        <v>0</v>
      </c>
      <c r="AI19" s="8">
        <f t="shared" si="4"/>
        <v>0</v>
      </c>
      <c r="AJ19" s="8">
        <f t="shared" si="5"/>
        <v>0</v>
      </c>
      <c r="AK19" s="8">
        <v>0</v>
      </c>
      <c r="AL19" s="8">
        <v>0</v>
      </c>
      <c r="AM19" s="8">
        <v>0</v>
      </c>
      <c r="AN19" s="8">
        <v>0</v>
      </c>
      <c r="AO19" s="8">
        <v>0</v>
      </c>
      <c r="AP19" s="8">
        <f t="shared" si="6"/>
        <v>0</v>
      </c>
      <c r="AQ19" s="8">
        <f t="shared" si="7"/>
        <v>0</v>
      </c>
      <c r="AR19" s="8">
        <v>0</v>
      </c>
      <c r="AS19" s="8">
        <v>0</v>
      </c>
      <c r="AT19" s="8">
        <v>0</v>
      </c>
      <c r="AU19" s="8">
        <v>0</v>
      </c>
      <c r="AV19" s="8">
        <v>0</v>
      </c>
      <c r="AW19" s="8">
        <f t="shared" si="8"/>
        <v>0</v>
      </c>
      <c r="AX19" s="8">
        <f t="shared" si="9"/>
        <v>0</v>
      </c>
      <c r="AY19" s="8">
        <v>0</v>
      </c>
      <c r="AZ19" s="8">
        <v>0</v>
      </c>
      <c r="BA19" s="8">
        <v>0</v>
      </c>
      <c r="BB19" s="8">
        <v>0</v>
      </c>
      <c r="BC19" s="8">
        <v>0</v>
      </c>
      <c r="BD19" s="8">
        <f t="shared" si="10"/>
        <v>0</v>
      </c>
      <c r="BE19" s="8">
        <f t="shared" si="11"/>
        <v>0</v>
      </c>
      <c r="BF19" s="8">
        <v>0</v>
      </c>
      <c r="BG19" s="8">
        <v>0</v>
      </c>
      <c r="BH19" s="8">
        <v>0</v>
      </c>
      <c r="BI19" s="8">
        <v>0</v>
      </c>
      <c r="BJ19" s="8">
        <v>0</v>
      </c>
      <c r="BK19" s="8">
        <f t="shared" si="12"/>
        <v>0</v>
      </c>
      <c r="BL19" s="8">
        <f t="shared" si="13"/>
        <v>0</v>
      </c>
      <c r="BM19" s="8">
        <v>0</v>
      </c>
      <c r="BN19" s="8">
        <v>0</v>
      </c>
      <c r="BO19" s="8">
        <v>0</v>
      </c>
      <c r="BP19" s="8">
        <f t="shared" si="14"/>
        <v>2000</v>
      </c>
      <c r="BQ19" s="8">
        <f t="shared" si="15"/>
        <v>2000</v>
      </c>
      <c r="BR19" s="8">
        <v>2</v>
      </c>
      <c r="BS19" s="8">
        <v>0</v>
      </c>
      <c r="BT19" s="8">
        <v>0</v>
      </c>
      <c r="BU19" s="8">
        <f t="shared" si="16"/>
        <v>2000</v>
      </c>
      <c r="BV19" s="8">
        <f t="shared" si="17"/>
        <v>2000</v>
      </c>
      <c r="BW19" s="8">
        <v>2</v>
      </c>
      <c r="BX19" s="8">
        <v>0</v>
      </c>
      <c r="BY19" s="8">
        <v>0</v>
      </c>
      <c r="BZ19" s="8">
        <f t="shared" si="18"/>
        <v>2000</v>
      </c>
      <c r="CA19" s="8">
        <f t="shared" si="19"/>
        <v>2000</v>
      </c>
      <c r="CB19" s="8">
        <v>2</v>
      </c>
      <c r="CC19" s="8">
        <v>0</v>
      </c>
      <c r="CD19" s="8">
        <v>0</v>
      </c>
      <c r="CE19" s="8">
        <f t="shared" si="20"/>
        <v>2000</v>
      </c>
      <c r="CF19" s="8">
        <f t="shared" si="21"/>
        <v>2000</v>
      </c>
      <c r="CG19" s="8">
        <v>2</v>
      </c>
      <c r="CH19" s="8">
        <v>0</v>
      </c>
      <c r="CI19" s="8">
        <v>0</v>
      </c>
      <c r="CJ19" s="8">
        <f t="shared" si="22"/>
        <v>2000</v>
      </c>
      <c r="CK19" s="8">
        <f t="shared" si="23"/>
        <v>2000</v>
      </c>
      <c r="CL19" s="8">
        <v>2</v>
      </c>
      <c r="CM19" s="8">
        <v>0</v>
      </c>
      <c r="CN19" s="8">
        <v>0</v>
      </c>
      <c r="CO19" s="8">
        <v>0</v>
      </c>
      <c r="CP19" s="9">
        <f t="shared" si="24"/>
        <v>10000</v>
      </c>
      <c r="CQ19" s="9">
        <f t="shared" si="25"/>
        <v>10000</v>
      </c>
      <c r="CR19" s="8">
        <v>0.8</v>
      </c>
      <c r="CS19" s="8">
        <v>0</v>
      </c>
      <c r="CT19" s="8">
        <v>0</v>
      </c>
      <c r="CU19" s="8">
        <v>0</v>
      </c>
      <c r="CV19" s="8">
        <f t="shared" si="26"/>
        <v>-10000</v>
      </c>
      <c r="CW19" s="8">
        <f t="shared" si="27"/>
        <v>-10000</v>
      </c>
      <c r="CX19" s="8">
        <v>0</v>
      </c>
      <c r="CY19" s="8">
        <v>0</v>
      </c>
      <c r="CZ19" s="8">
        <v>0</v>
      </c>
      <c r="DA19" s="8">
        <v>0</v>
      </c>
      <c r="DB19" s="8">
        <f t="shared" si="28"/>
        <v>10000</v>
      </c>
      <c r="DC19" s="8">
        <f t="shared" si="29"/>
        <v>10000</v>
      </c>
    </row>
    <row r="20" spans="1:107" s="10" customFormat="1">
      <c r="C20" s="11" t="s">
        <v>105</v>
      </c>
      <c r="D20" s="11" t="s">
        <v>106</v>
      </c>
      <c r="E20" s="11" t="s">
        <v>160</v>
      </c>
      <c r="F20" s="11" t="s">
        <v>161</v>
      </c>
      <c r="G20" s="11"/>
      <c r="H20" s="11" t="s">
        <v>162</v>
      </c>
      <c r="I20" s="11">
        <v>5841813202</v>
      </c>
      <c r="J20" s="11" t="s">
        <v>109</v>
      </c>
      <c r="K20" s="11" t="s">
        <v>162</v>
      </c>
      <c r="L20" s="11" t="s">
        <v>162</v>
      </c>
      <c r="M20" s="11" t="s">
        <v>163</v>
      </c>
      <c r="N20" s="11" t="s">
        <v>112</v>
      </c>
      <c r="O20" s="12" t="s">
        <v>113</v>
      </c>
      <c r="P20" s="12"/>
      <c r="Q20" s="13"/>
      <c r="R20" s="13"/>
      <c r="S20" s="14">
        <v>0</v>
      </c>
      <c r="T20" s="14">
        <v>0</v>
      </c>
      <c r="U20" s="8">
        <f t="shared" si="0"/>
        <v>0</v>
      </c>
      <c r="V20" s="8">
        <f t="shared" si="1"/>
        <v>0</v>
      </c>
      <c r="W20" s="14">
        <v>0</v>
      </c>
      <c r="X20" s="14">
        <v>0</v>
      </c>
      <c r="Y20" s="14">
        <v>0</v>
      </c>
      <c r="Z20" s="14">
        <v>0</v>
      </c>
      <c r="AA20" s="14">
        <v>0</v>
      </c>
      <c r="AB20" s="8">
        <f t="shared" si="2"/>
        <v>0</v>
      </c>
      <c r="AC20" s="8">
        <f t="shared" si="3"/>
        <v>0</v>
      </c>
      <c r="AD20" s="14">
        <v>0</v>
      </c>
      <c r="AE20" s="14">
        <v>0</v>
      </c>
      <c r="AF20" s="14">
        <v>0</v>
      </c>
      <c r="AG20" s="14">
        <v>0</v>
      </c>
      <c r="AH20" s="8">
        <v>0</v>
      </c>
      <c r="AI20" s="8">
        <f t="shared" si="4"/>
        <v>2000</v>
      </c>
      <c r="AJ20" s="8">
        <f t="shared" si="5"/>
        <v>2000</v>
      </c>
      <c r="AK20" s="14">
        <v>2</v>
      </c>
      <c r="AL20" s="14">
        <v>0</v>
      </c>
      <c r="AM20" s="14">
        <v>0</v>
      </c>
      <c r="AN20" s="14">
        <v>0</v>
      </c>
      <c r="AO20" s="8">
        <v>0</v>
      </c>
      <c r="AP20" s="8">
        <f t="shared" si="6"/>
        <v>3000</v>
      </c>
      <c r="AQ20" s="8">
        <f t="shared" si="7"/>
        <v>3000</v>
      </c>
      <c r="AR20" s="14">
        <v>3</v>
      </c>
      <c r="AS20" s="14">
        <v>0</v>
      </c>
      <c r="AT20" s="14">
        <v>0</v>
      </c>
      <c r="AU20" s="14">
        <v>0</v>
      </c>
      <c r="AV20" s="8">
        <v>0</v>
      </c>
      <c r="AW20" s="8">
        <f t="shared" si="8"/>
        <v>4000</v>
      </c>
      <c r="AX20" s="8">
        <f t="shared" si="9"/>
        <v>4000</v>
      </c>
      <c r="AY20" s="14">
        <v>4</v>
      </c>
      <c r="AZ20" s="14">
        <v>0</v>
      </c>
      <c r="BA20" s="14">
        <v>0</v>
      </c>
      <c r="BB20" s="14">
        <v>0</v>
      </c>
      <c r="BC20" s="8">
        <v>0</v>
      </c>
      <c r="BD20" s="8">
        <f t="shared" si="10"/>
        <v>4000</v>
      </c>
      <c r="BE20" s="8">
        <f t="shared" si="11"/>
        <v>4000</v>
      </c>
      <c r="BF20" s="14">
        <v>4</v>
      </c>
      <c r="BG20" s="14">
        <v>0</v>
      </c>
      <c r="BH20" s="14">
        <v>0</v>
      </c>
      <c r="BI20" s="14">
        <v>0</v>
      </c>
      <c r="BJ20" s="8">
        <v>0</v>
      </c>
      <c r="BK20" s="8">
        <f t="shared" si="12"/>
        <v>4000</v>
      </c>
      <c r="BL20" s="8">
        <f t="shared" si="13"/>
        <v>4000</v>
      </c>
      <c r="BM20" s="14">
        <v>4</v>
      </c>
      <c r="BN20" s="14">
        <v>0</v>
      </c>
      <c r="BO20" s="14">
        <v>0</v>
      </c>
      <c r="BP20" s="8">
        <f t="shared" si="14"/>
        <v>4000</v>
      </c>
      <c r="BQ20" s="8">
        <f t="shared" si="15"/>
        <v>4000</v>
      </c>
      <c r="BR20" s="14">
        <v>4</v>
      </c>
      <c r="BS20" s="14">
        <v>0</v>
      </c>
      <c r="BT20" s="14">
        <v>0</v>
      </c>
      <c r="BU20" s="8">
        <f t="shared" si="16"/>
        <v>4000</v>
      </c>
      <c r="BV20" s="8">
        <f t="shared" si="17"/>
        <v>4000</v>
      </c>
      <c r="BW20" s="14">
        <v>4</v>
      </c>
      <c r="BX20" s="14">
        <v>0</v>
      </c>
      <c r="BY20" s="14">
        <v>0</v>
      </c>
      <c r="BZ20" s="8">
        <f t="shared" si="18"/>
        <v>4000</v>
      </c>
      <c r="CA20" s="8">
        <f t="shared" si="19"/>
        <v>4000</v>
      </c>
      <c r="CB20" s="14">
        <v>4</v>
      </c>
      <c r="CC20" s="14">
        <v>0</v>
      </c>
      <c r="CD20" s="14">
        <v>0</v>
      </c>
      <c r="CE20" s="8">
        <f t="shared" si="20"/>
        <v>4000</v>
      </c>
      <c r="CF20" s="8">
        <f t="shared" si="21"/>
        <v>4000</v>
      </c>
      <c r="CG20" s="14">
        <v>4</v>
      </c>
      <c r="CH20" s="14">
        <v>0</v>
      </c>
      <c r="CI20" s="14">
        <v>0</v>
      </c>
      <c r="CJ20" s="8">
        <f t="shared" si="22"/>
        <v>4000</v>
      </c>
      <c r="CK20" s="8">
        <f t="shared" si="23"/>
        <v>4000</v>
      </c>
      <c r="CL20" s="14">
        <v>4</v>
      </c>
      <c r="CM20" s="14">
        <v>0</v>
      </c>
      <c r="CN20" s="14">
        <v>0</v>
      </c>
      <c r="CO20" s="14">
        <v>0</v>
      </c>
      <c r="CP20" s="9">
        <f t="shared" si="24"/>
        <v>37000</v>
      </c>
      <c r="CQ20" s="9">
        <f t="shared" si="25"/>
        <v>37000</v>
      </c>
      <c r="CR20" s="14">
        <v>3.1</v>
      </c>
      <c r="CS20" s="14">
        <v>0</v>
      </c>
      <c r="CT20" s="14">
        <v>0</v>
      </c>
      <c r="CU20" s="14">
        <v>0</v>
      </c>
      <c r="CV20" s="8">
        <f t="shared" si="26"/>
        <v>-37000</v>
      </c>
      <c r="CW20" s="8">
        <f t="shared" si="27"/>
        <v>-37000</v>
      </c>
      <c r="CX20" s="14">
        <v>0</v>
      </c>
      <c r="CY20" s="14">
        <v>0</v>
      </c>
      <c r="CZ20" s="14">
        <v>0</v>
      </c>
      <c r="DA20" s="14">
        <v>0</v>
      </c>
      <c r="DB20" s="8">
        <f t="shared" si="28"/>
        <v>37000</v>
      </c>
      <c r="DC20" s="8">
        <f t="shared" si="29"/>
        <v>37000</v>
      </c>
    </row>
    <row r="21" spans="1:107" s="4" customFormat="1">
      <c r="A21" s="24" t="s">
        <v>126</v>
      </c>
      <c r="C21" s="5" t="s">
        <v>105</v>
      </c>
      <c r="D21" s="5" t="s">
        <v>106</v>
      </c>
      <c r="E21" s="5" t="s">
        <v>164</v>
      </c>
      <c r="F21" s="23" t="s">
        <v>165</v>
      </c>
      <c r="G21" s="5"/>
      <c r="H21" s="5" t="s">
        <v>166</v>
      </c>
      <c r="I21" s="5">
        <v>5842263202</v>
      </c>
      <c r="J21" s="5" t="s">
        <v>109</v>
      </c>
      <c r="K21" s="5" t="s">
        <v>166</v>
      </c>
      <c r="L21" s="5" t="s">
        <v>166</v>
      </c>
      <c r="M21" s="5" t="s">
        <v>163</v>
      </c>
      <c r="N21" s="5" t="s">
        <v>128</v>
      </c>
      <c r="O21" s="6" t="s">
        <v>113</v>
      </c>
      <c r="P21" s="6"/>
      <c r="Q21" s="7"/>
      <c r="R21" s="7"/>
      <c r="S21" s="8">
        <v>0</v>
      </c>
      <c r="T21" s="8">
        <v>0</v>
      </c>
      <c r="U21" s="8">
        <f t="shared" si="0"/>
        <v>0</v>
      </c>
      <c r="V21" s="8">
        <f t="shared" si="1"/>
        <v>0</v>
      </c>
      <c r="W21" s="8">
        <v>0</v>
      </c>
      <c r="X21" s="8">
        <v>0</v>
      </c>
      <c r="Y21" s="8">
        <v>0</v>
      </c>
      <c r="Z21" s="8">
        <v>0</v>
      </c>
      <c r="AA21" s="8">
        <v>0</v>
      </c>
      <c r="AB21" s="8">
        <f t="shared" si="2"/>
        <v>5000</v>
      </c>
      <c r="AC21" s="8">
        <f t="shared" si="3"/>
        <v>5000</v>
      </c>
      <c r="AD21" s="8">
        <v>5</v>
      </c>
      <c r="AE21" s="8">
        <v>0</v>
      </c>
      <c r="AF21" s="8">
        <v>0</v>
      </c>
      <c r="AG21" s="8">
        <v>0</v>
      </c>
      <c r="AH21" s="8">
        <v>0</v>
      </c>
      <c r="AI21" s="8">
        <f t="shared" si="4"/>
        <v>5000</v>
      </c>
      <c r="AJ21" s="8">
        <f t="shared" si="5"/>
        <v>5000</v>
      </c>
      <c r="AK21" s="8">
        <v>5</v>
      </c>
      <c r="AL21" s="8">
        <v>0</v>
      </c>
      <c r="AM21" s="8">
        <v>0</v>
      </c>
      <c r="AN21" s="8">
        <v>0</v>
      </c>
      <c r="AO21" s="8">
        <v>0</v>
      </c>
      <c r="AP21" s="8">
        <f t="shared" si="6"/>
        <v>5000</v>
      </c>
      <c r="AQ21" s="8">
        <f t="shared" si="7"/>
        <v>5000</v>
      </c>
      <c r="AR21" s="8">
        <v>5</v>
      </c>
      <c r="AS21" s="8">
        <v>0</v>
      </c>
      <c r="AT21" s="8">
        <v>0</v>
      </c>
      <c r="AU21" s="8">
        <v>0</v>
      </c>
      <c r="AV21" s="8">
        <v>0</v>
      </c>
      <c r="AW21" s="8">
        <f t="shared" si="8"/>
        <v>5000</v>
      </c>
      <c r="AX21" s="8">
        <f t="shared" si="9"/>
        <v>5000</v>
      </c>
      <c r="AY21" s="8">
        <v>5</v>
      </c>
      <c r="AZ21" s="8">
        <v>0</v>
      </c>
      <c r="BA21" s="8">
        <v>0</v>
      </c>
      <c r="BB21" s="8">
        <v>0</v>
      </c>
      <c r="BC21" s="8">
        <v>0</v>
      </c>
      <c r="BD21" s="8">
        <f t="shared" si="10"/>
        <v>5000</v>
      </c>
      <c r="BE21" s="8">
        <f t="shared" si="11"/>
        <v>5000</v>
      </c>
      <c r="BF21" s="8">
        <v>5</v>
      </c>
      <c r="BG21" s="8">
        <v>0</v>
      </c>
      <c r="BH21" s="8">
        <v>0</v>
      </c>
      <c r="BI21" s="8">
        <v>0</v>
      </c>
      <c r="BJ21" s="8">
        <v>0</v>
      </c>
      <c r="BK21" s="8">
        <f t="shared" si="12"/>
        <v>5000</v>
      </c>
      <c r="BL21" s="8">
        <f t="shared" si="13"/>
        <v>5000</v>
      </c>
      <c r="BM21" s="8">
        <v>5</v>
      </c>
      <c r="BN21" s="8">
        <v>0</v>
      </c>
      <c r="BO21" s="8">
        <v>0</v>
      </c>
      <c r="BP21" s="8">
        <f t="shared" si="14"/>
        <v>5000</v>
      </c>
      <c r="BQ21" s="8">
        <f t="shared" si="15"/>
        <v>5000</v>
      </c>
      <c r="BR21" s="8">
        <v>5</v>
      </c>
      <c r="BS21" s="8">
        <v>0</v>
      </c>
      <c r="BT21" s="8">
        <v>0</v>
      </c>
      <c r="BU21" s="8">
        <f t="shared" si="16"/>
        <v>5000</v>
      </c>
      <c r="BV21" s="8">
        <f t="shared" si="17"/>
        <v>5000</v>
      </c>
      <c r="BW21" s="8">
        <v>5</v>
      </c>
      <c r="BX21" s="8">
        <v>0</v>
      </c>
      <c r="BY21" s="8">
        <v>0</v>
      </c>
      <c r="BZ21" s="8">
        <f t="shared" si="18"/>
        <v>5000</v>
      </c>
      <c r="CA21" s="8">
        <f t="shared" si="19"/>
        <v>5000</v>
      </c>
      <c r="CB21" s="8">
        <v>5</v>
      </c>
      <c r="CC21" s="8">
        <v>0</v>
      </c>
      <c r="CD21" s="8">
        <v>0</v>
      </c>
      <c r="CE21" s="8">
        <f t="shared" si="20"/>
        <v>5000</v>
      </c>
      <c r="CF21" s="8">
        <f t="shared" si="21"/>
        <v>5000</v>
      </c>
      <c r="CG21" s="8">
        <v>5</v>
      </c>
      <c r="CH21" s="8">
        <v>0</v>
      </c>
      <c r="CI21" s="8">
        <v>0</v>
      </c>
      <c r="CJ21" s="8">
        <f t="shared" si="22"/>
        <v>5000</v>
      </c>
      <c r="CK21" s="8">
        <f t="shared" si="23"/>
        <v>5000</v>
      </c>
      <c r="CL21" s="8">
        <v>5</v>
      </c>
      <c r="CM21" s="8">
        <v>0</v>
      </c>
      <c r="CN21" s="8">
        <v>0</v>
      </c>
      <c r="CO21" s="8">
        <v>0</v>
      </c>
      <c r="CP21" s="9">
        <f t="shared" si="24"/>
        <v>55000</v>
      </c>
      <c r="CQ21" s="9">
        <f t="shared" si="25"/>
        <v>55000</v>
      </c>
      <c r="CR21" s="8">
        <v>4.5999999999999996</v>
      </c>
      <c r="CS21" s="8">
        <v>0</v>
      </c>
      <c r="CT21" s="8">
        <v>0</v>
      </c>
      <c r="CU21" s="8">
        <v>0</v>
      </c>
      <c r="CV21" s="8">
        <f t="shared" si="26"/>
        <v>-55000</v>
      </c>
      <c r="CW21" s="8">
        <f t="shared" si="27"/>
        <v>-55000</v>
      </c>
      <c r="CX21" s="8">
        <v>0</v>
      </c>
      <c r="CY21" s="8">
        <v>0</v>
      </c>
      <c r="CZ21" s="8">
        <v>0</v>
      </c>
      <c r="DA21" s="8">
        <v>0</v>
      </c>
      <c r="DB21" s="8">
        <f t="shared" si="28"/>
        <v>55000</v>
      </c>
      <c r="DC21" s="8">
        <f t="shared" si="29"/>
        <v>55000</v>
      </c>
    </row>
    <row r="22" spans="1:107" s="4" customFormat="1">
      <c r="A22" s="24" t="s">
        <v>126</v>
      </c>
      <c r="C22" s="5" t="s">
        <v>105</v>
      </c>
      <c r="D22" s="5" t="s">
        <v>106</v>
      </c>
      <c r="E22" s="5" t="s">
        <v>164</v>
      </c>
      <c r="F22" s="23" t="s">
        <v>165</v>
      </c>
      <c r="G22" s="5"/>
      <c r="H22" s="5" t="s">
        <v>166</v>
      </c>
      <c r="I22" s="5">
        <v>5842263202</v>
      </c>
      <c r="J22" s="5" t="s">
        <v>109</v>
      </c>
      <c r="K22" s="5" t="s">
        <v>166</v>
      </c>
      <c r="L22" s="5" t="s">
        <v>166</v>
      </c>
      <c r="M22" s="5" t="s">
        <v>163</v>
      </c>
      <c r="N22" s="5" t="s">
        <v>128</v>
      </c>
      <c r="O22" s="6" t="s">
        <v>113</v>
      </c>
      <c r="P22" s="6"/>
      <c r="Q22" s="7"/>
      <c r="R22" s="7"/>
      <c r="S22" s="8">
        <v>0</v>
      </c>
      <c r="T22" s="8">
        <v>0</v>
      </c>
      <c r="U22" s="8">
        <f t="shared" ref="U22" si="30">1000*W22</f>
        <v>0</v>
      </c>
      <c r="V22" s="8">
        <f t="shared" ref="V22" si="31">1000*W22</f>
        <v>0</v>
      </c>
      <c r="W22" s="8">
        <v>0</v>
      </c>
      <c r="X22" s="8">
        <v>0</v>
      </c>
      <c r="Y22" s="8">
        <v>0</v>
      </c>
      <c r="Z22" s="8">
        <v>0</v>
      </c>
      <c r="AA22" s="8">
        <v>0</v>
      </c>
      <c r="AB22" s="8">
        <f t="shared" ref="AB22" si="32">1000*AD22</f>
        <v>5000</v>
      </c>
      <c r="AC22" s="8">
        <f t="shared" ref="AC22" si="33">1000*AD22</f>
        <v>5000</v>
      </c>
      <c r="AD22" s="8">
        <v>5</v>
      </c>
      <c r="AE22" s="8">
        <v>0</v>
      </c>
      <c r="AF22" s="8">
        <v>0</v>
      </c>
      <c r="AG22" s="8">
        <v>0</v>
      </c>
      <c r="AH22" s="8">
        <v>0</v>
      </c>
      <c r="AI22" s="8">
        <f t="shared" ref="AI22" si="34">1000*AK22</f>
        <v>5000</v>
      </c>
      <c r="AJ22" s="8">
        <f t="shared" ref="AJ22" si="35">1000*AK22</f>
        <v>5000</v>
      </c>
      <c r="AK22" s="8">
        <v>5</v>
      </c>
      <c r="AL22" s="8">
        <v>0</v>
      </c>
      <c r="AM22" s="8">
        <v>0</v>
      </c>
      <c r="AN22" s="8">
        <v>0</v>
      </c>
      <c r="AO22" s="8">
        <v>0</v>
      </c>
      <c r="AP22" s="8">
        <f t="shared" ref="AP22" si="36">1000*AR22</f>
        <v>5000</v>
      </c>
      <c r="AQ22" s="8">
        <f t="shared" ref="AQ22" si="37">1000*AR22</f>
        <v>5000</v>
      </c>
      <c r="AR22" s="8">
        <v>5</v>
      </c>
      <c r="AS22" s="8">
        <v>0</v>
      </c>
      <c r="AT22" s="8">
        <v>0</v>
      </c>
      <c r="AU22" s="8">
        <v>0</v>
      </c>
      <c r="AV22" s="8">
        <v>0</v>
      </c>
      <c r="AW22" s="8">
        <f t="shared" ref="AW22" si="38">1000*AY22</f>
        <v>5000</v>
      </c>
      <c r="AX22" s="8">
        <f t="shared" ref="AX22" si="39">1000*AY22</f>
        <v>5000</v>
      </c>
      <c r="AY22" s="8">
        <v>5</v>
      </c>
      <c r="AZ22" s="8">
        <v>0</v>
      </c>
      <c r="BA22" s="8">
        <v>0</v>
      </c>
      <c r="BB22" s="8">
        <v>0</v>
      </c>
      <c r="BC22" s="8">
        <v>0</v>
      </c>
      <c r="BD22" s="8">
        <f t="shared" ref="BD22" si="40">1000*BF22</f>
        <v>5000</v>
      </c>
      <c r="BE22" s="8">
        <f t="shared" ref="BE22" si="41">1000*BF22</f>
        <v>5000</v>
      </c>
      <c r="BF22" s="8">
        <v>5</v>
      </c>
      <c r="BG22" s="8">
        <v>0</v>
      </c>
      <c r="BH22" s="8">
        <v>0</v>
      </c>
      <c r="BI22" s="8">
        <v>0</v>
      </c>
      <c r="BJ22" s="8">
        <v>0</v>
      </c>
      <c r="BK22" s="8">
        <f t="shared" ref="BK22" si="42">1000*BM22</f>
        <v>5000</v>
      </c>
      <c r="BL22" s="8">
        <f t="shared" ref="BL22" si="43">1000*BM22</f>
        <v>5000</v>
      </c>
      <c r="BM22" s="8">
        <v>5</v>
      </c>
      <c r="BN22" s="8">
        <v>0</v>
      </c>
      <c r="BO22" s="8">
        <v>0</v>
      </c>
      <c r="BP22" s="8">
        <f t="shared" ref="BP22" si="44">1000*BR22</f>
        <v>5000</v>
      </c>
      <c r="BQ22" s="8">
        <f t="shared" ref="BQ22" si="45">1000*BR22</f>
        <v>5000</v>
      </c>
      <c r="BR22" s="8">
        <v>5</v>
      </c>
      <c r="BS22" s="8">
        <v>0</v>
      </c>
      <c r="BT22" s="8">
        <v>0</v>
      </c>
      <c r="BU22" s="8">
        <f t="shared" ref="BU22" si="46">1000*BW22</f>
        <v>5000</v>
      </c>
      <c r="BV22" s="8">
        <f t="shared" ref="BV22" si="47">1000*BW22</f>
        <v>5000</v>
      </c>
      <c r="BW22" s="8">
        <v>5</v>
      </c>
      <c r="BX22" s="8">
        <v>0</v>
      </c>
      <c r="BY22" s="8">
        <v>0</v>
      </c>
      <c r="BZ22" s="8">
        <f t="shared" ref="BZ22" si="48">1000*CB22</f>
        <v>5000</v>
      </c>
      <c r="CA22" s="8">
        <f t="shared" ref="CA22" si="49">1000*CB22</f>
        <v>5000</v>
      </c>
      <c r="CB22" s="8">
        <v>5</v>
      </c>
      <c r="CC22" s="8">
        <v>0</v>
      </c>
      <c r="CD22" s="8">
        <v>0</v>
      </c>
      <c r="CE22" s="8">
        <f t="shared" ref="CE22" si="50">1000*CG22</f>
        <v>5000</v>
      </c>
      <c r="CF22" s="8">
        <f t="shared" ref="CF22" si="51">1000*CG22</f>
        <v>5000</v>
      </c>
      <c r="CG22" s="8">
        <v>5</v>
      </c>
      <c r="CH22" s="8">
        <v>0</v>
      </c>
      <c r="CI22" s="8">
        <v>0</v>
      </c>
      <c r="CJ22" s="8">
        <f t="shared" ref="CJ22" si="52">1000*CL22</f>
        <v>5000</v>
      </c>
      <c r="CK22" s="8">
        <f t="shared" ref="CK22" si="53">1000*CL22</f>
        <v>5000</v>
      </c>
      <c r="CL22" s="8">
        <v>5</v>
      </c>
      <c r="CM22" s="8">
        <v>0</v>
      </c>
      <c r="CN22" s="8">
        <v>0</v>
      </c>
      <c r="CO22" s="8">
        <v>0</v>
      </c>
      <c r="CP22" s="9">
        <f t="shared" ref="CP22" si="54">SUM(U22,AB22,AI22,AP22,AW22,BD22,BK22,BP22,BU22,BZ22,CE22,CJ22)</f>
        <v>55000</v>
      </c>
      <c r="CQ22" s="9">
        <f t="shared" ref="CQ22" si="55">SUM(V22,AC22,AJ22,AQ22,AX22,BE22,BL22,BQ22,BV22,CA22,CF22,CK22)</f>
        <v>55000</v>
      </c>
      <c r="CR22" s="8">
        <v>4.5999999999999996</v>
      </c>
      <c r="CS22" s="8">
        <v>0</v>
      </c>
      <c r="CT22" s="8">
        <v>0</v>
      </c>
      <c r="CU22" s="8">
        <v>0</v>
      </c>
      <c r="CV22" s="8">
        <f t="shared" ref="CV22" si="56">CT22-CP22</f>
        <v>-55000</v>
      </c>
      <c r="CW22" s="8">
        <f t="shared" ref="CW22" si="57">CU22-CQ22</f>
        <v>-55000</v>
      </c>
      <c r="CX22" s="8">
        <v>0</v>
      </c>
      <c r="CY22" s="8">
        <v>0</v>
      </c>
      <c r="CZ22" s="8">
        <v>0</v>
      </c>
      <c r="DA22" s="8">
        <v>0</v>
      </c>
      <c r="DB22" s="8">
        <f t="shared" ref="DB22" si="58">CP22</f>
        <v>55000</v>
      </c>
      <c r="DC22" s="8">
        <f t="shared" ref="DC22" si="59">CQ22</f>
        <v>55000</v>
      </c>
    </row>
    <row r="23" spans="1:107" s="10" customFormat="1">
      <c r="C23" s="11" t="s">
        <v>105</v>
      </c>
      <c r="D23" s="11" t="s">
        <v>106</v>
      </c>
      <c r="E23" s="11" t="s">
        <v>124</v>
      </c>
      <c r="F23" s="11" t="s">
        <v>167</v>
      </c>
      <c r="G23" s="11"/>
      <c r="H23" s="11" t="s">
        <v>168</v>
      </c>
      <c r="I23" s="11" t="s">
        <v>168</v>
      </c>
      <c r="J23" s="11" t="s">
        <v>109</v>
      </c>
      <c r="K23" s="11" t="s">
        <v>168</v>
      </c>
      <c r="L23" s="11" t="s">
        <v>168</v>
      </c>
      <c r="M23" s="11" t="s">
        <v>163</v>
      </c>
      <c r="N23" s="11" t="s">
        <v>128</v>
      </c>
      <c r="O23" s="12" t="s">
        <v>113</v>
      </c>
      <c r="P23" s="12"/>
      <c r="Q23" s="13"/>
      <c r="R23" s="13"/>
      <c r="S23" s="14">
        <v>0</v>
      </c>
      <c r="T23" s="14">
        <v>0</v>
      </c>
      <c r="U23" s="8">
        <f t="shared" si="0"/>
        <v>0</v>
      </c>
      <c r="V23" s="8">
        <f t="shared" si="1"/>
        <v>0</v>
      </c>
      <c r="W23" s="14">
        <v>0</v>
      </c>
      <c r="X23" s="14">
        <v>0</v>
      </c>
      <c r="Y23" s="14">
        <v>0</v>
      </c>
      <c r="Z23" s="14">
        <v>0</v>
      </c>
      <c r="AA23" s="14">
        <v>0</v>
      </c>
      <c r="AB23" s="8">
        <f t="shared" si="2"/>
        <v>0</v>
      </c>
      <c r="AC23" s="8">
        <f t="shared" si="3"/>
        <v>0</v>
      </c>
      <c r="AD23" s="14">
        <v>0</v>
      </c>
      <c r="AE23" s="14">
        <v>0</v>
      </c>
      <c r="AF23" s="14">
        <v>0</v>
      </c>
      <c r="AG23" s="14">
        <v>0</v>
      </c>
      <c r="AH23" s="8">
        <v>0</v>
      </c>
      <c r="AI23" s="8">
        <f t="shared" si="4"/>
        <v>0</v>
      </c>
      <c r="AJ23" s="8">
        <f t="shared" si="5"/>
        <v>0</v>
      </c>
      <c r="AK23" s="14">
        <v>0</v>
      </c>
      <c r="AL23" s="14">
        <v>0</v>
      </c>
      <c r="AM23" s="14">
        <v>0</v>
      </c>
      <c r="AN23" s="14">
        <v>0</v>
      </c>
      <c r="AO23" s="8">
        <v>0</v>
      </c>
      <c r="AP23" s="8">
        <f t="shared" si="6"/>
        <v>0</v>
      </c>
      <c r="AQ23" s="8">
        <f t="shared" si="7"/>
        <v>0</v>
      </c>
      <c r="AR23" s="14">
        <v>0</v>
      </c>
      <c r="AS23" s="14">
        <v>0</v>
      </c>
      <c r="AT23" s="14">
        <v>0</v>
      </c>
      <c r="AU23" s="14">
        <v>0</v>
      </c>
      <c r="AV23" s="8">
        <v>0</v>
      </c>
      <c r="AW23" s="8">
        <f t="shared" si="8"/>
        <v>0</v>
      </c>
      <c r="AX23" s="8">
        <f t="shared" si="9"/>
        <v>0</v>
      </c>
      <c r="AY23" s="14">
        <v>0</v>
      </c>
      <c r="AZ23" s="14">
        <v>0</v>
      </c>
      <c r="BA23" s="14">
        <v>0</v>
      </c>
      <c r="BB23" s="14">
        <v>0</v>
      </c>
      <c r="BC23" s="8">
        <v>0</v>
      </c>
      <c r="BD23" s="8">
        <f t="shared" si="10"/>
        <v>0</v>
      </c>
      <c r="BE23" s="8">
        <f t="shared" si="11"/>
        <v>0</v>
      </c>
      <c r="BF23" s="14">
        <v>0</v>
      </c>
      <c r="BG23" s="14">
        <v>0</v>
      </c>
      <c r="BH23" s="14">
        <v>0</v>
      </c>
      <c r="BI23" s="14">
        <v>0</v>
      </c>
      <c r="BJ23" s="8">
        <v>0</v>
      </c>
      <c r="BK23" s="8">
        <f t="shared" si="12"/>
        <v>0</v>
      </c>
      <c r="BL23" s="8">
        <f t="shared" si="13"/>
        <v>0</v>
      </c>
      <c r="BM23" s="14">
        <v>0</v>
      </c>
      <c r="BN23" s="14">
        <v>0</v>
      </c>
      <c r="BO23" s="14">
        <v>0</v>
      </c>
      <c r="BP23" s="8">
        <f t="shared" si="14"/>
        <v>0</v>
      </c>
      <c r="BQ23" s="8">
        <f t="shared" si="15"/>
        <v>0</v>
      </c>
      <c r="BR23" s="14">
        <v>0</v>
      </c>
      <c r="BS23" s="14">
        <v>0</v>
      </c>
      <c r="BT23" s="14">
        <v>0</v>
      </c>
      <c r="BU23" s="8">
        <f t="shared" si="16"/>
        <v>4000</v>
      </c>
      <c r="BV23" s="8">
        <f t="shared" si="17"/>
        <v>4000</v>
      </c>
      <c r="BW23" s="14">
        <v>4</v>
      </c>
      <c r="BX23" s="14">
        <v>0</v>
      </c>
      <c r="BY23" s="14">
        <v>0</v>
      </c>
      <c r="BZ23" s="8">
        <f t="shared" si="18"/>
        <v>4000</v>
      </c>
      <c r="CA23" s="8">
        <f t="shared" si="19"/>
        <v>4000</v>
      </c>
      <c r="CB23" s="14">
        <v>4</v>
      </c>
      <c r="CC23" s="14">
        <v>0</v>
      </c>
      <c r="CD23" s="14">
        <v>0</v>
      </c>
      <c r="CE23" s="8">
        <f t="shared" si="20"/>
        <v>4000</v>
      </c>
      <c r="CF23" s="8">
        <f t="shared" si="21"/>
        <v>4000</v>
      </c>
      <c r="CG23" s="14">
        <v>4</v>
      </c>
      <c r="CH23" s="14">
        <v>0</v>
      </c>
      <c r="CI23" s="14">
        <v>0</v>
      </c>
      <c r="CJ23" s="8">
        <f t="shared" si="22"/>
        <v>4000</v>
      </c>
      <c r="CK23" s="8">
        <f t="shared" si="23"/>
        <v>4000</v>
      </c>
      <c r="CL23" s="14">
        <v>4</v>
      </c>
      <c r="CM23" s="14">
        <v>0</v>
      </c>
      <c r="CN23" s="14">
        <v>0</v>
      </c>
      <c r="CO23" s="14">
        <v>0</v>
      </c>
      <c r="CP23" s="9">
        <f t="shared" si="24"/>
        <v>16000</v>
      </c>
      <c r="CQ23" s="9">
        <f t="shared" si="25"/>
        <v>16000</v>
      </c>
      <c r="CR23" s="14">
        <v>1.3</v>
      </c>
      <c r="CS23" s="14">
        <v>0</v>
      </c>
      <c r="CT23" s="14">
        <v>0</v>
      </c>
      <c r="CU23" s="14">
        <v>0</v>
      </c>
      <c r="CV23" s="8">
        <f t="shared" si="26"/>
        <v>-16000</v>
      </c>
      <c r="CW23" s="8">
        <f t="shared" si="27"/>
        <v>-16000</v>
      </c>
      <c r="CX23" s="14">
        <v>0</v>
      </c>
      <c r="CY23" s="14">
        <v>0</v>
      </c>
      <c r="CZ23" s="14">
        <v>0</v>
      </c>
      <c r="DA23" s="14">
        <v>0</v>
      </c>
      <c r="DB23" s="8">
        <f t="shared" si="28"/>
        <v>16000</v>
      </c>
      <c r="DC23" s="8">
        <f t="shared" si="29"/>
        <v>16000</v>
      </c>
    </row>
    <row r="24" spans="1:107" s="4" customFormat="1">
      <c r="A24" s="24" t="s">
        <v>126</v>
      </c>
      <c r="C24" s="5" t="s">
        <v>105</v>
      </c>
      <c r="D24" s="5" t="s">
        <v>106</v>
      </c>
      <c r="E24" s="5" t="s">
        <v>107</v>
      </c>
      <c r="F24" s="23" t="s">
        <v>169</v>
      </c>
      <c r="G24" s="5"/>
      <c r="H24" s="5" t="s">
        <v>170</v>
      </c>
      <c r="I24" s="5">
        <v>5841813202</v>
      </c>
      <c r="J24" s="5" t="s">
        <v>109</v>
      </c>
      <c r="K24" s="5" t="s">
        <v>170</v>
      </c>
      <c r="L24" s="5" t="s">
        <v>170</v>
      </c>
      <c r="M24" s="5" t="s">
        <v>163</v>
      </c>
      <c r="N24" s="5" t="s">
        <v>112</v>
      </c>
      <c r="O24" s="6" t="s">
        <v>113</v>
      </c>
      <c r="P24" s="6"/>
      <c r="Q24" s="7"/>
      <c r="R24" s="7"/>
      <c r="S24" s="8">
        <v>0</v>
      </c>
      <c r="T24" s="8">
        <v>0</v>
      </c>
      <c r="U24" s="8">
        <f t="shared" si="0"/>
        <v>0</v>
      </c>
      <c r="V24" s="8">
        <f t="shared" si="1"/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f t="shared" si="2"/>
        <v>0</v>
      </c>
      <c r="AC24" s="8">
        <f t="shared" si="3"/>
        <v>0</v>
      </c>
      <c r="AD24" s="8">
        <v>0</v>
      </c>
      <c r="AE24" s="8">
        <v>0</v>
      </c>
      <c r="AF24" s="8">
        <v>0</v>
      </c>
      <c r="AG24" s="8">
        <v>0</v>
      </c>
      <c r="AH24" s="8">
        <v>0</v>
      </c>
      <c r="AI24" s="8">
        <f t="shared" si="4"/>
        <v>0</v>
      </c>
      <c r="AJ24" s="8">
        <f t="shared" si="5"/>
        <v>0</v>
      </c>
      <c r="AK24" s="8">
        <v>0</v>
      </c>
      <c r="AL24" s="8">
        <v>0</v>
      </c>
      <c r="AM24" s="8">
        <v>0</v>
      </c>
      <c r="AN24" s="8">
        <v>0</v>
      </c>
      <c r="AO24" s="8">
        <v>0</v>
      </c>
      <c r="AP24" s="8">
        <f t="shared" si="6"/>
        <v>0</v>
      </c>
      <c r="AQ24" s="8">
        <f t="shared" si="7"/>
        <v>0</v>
      </c>
      <c r="AR24" s="8">
        <v>0</v>
      </c>
      <c r="AS24" s="8">
        <v>0</v>
      </c>
      <c r="AT24" s="8">
        <v>0</v>
      </c>
      <c r="AU24" s="8">
        <v>0</v>
      </c>
      <c r="AV24" s="8">
        <v>0</v>
      </c>
      <c r="AW24" s="8">
        <f t="shared" si="8"/>
        <v>0</v>
      </c>
      <c r="AX24" s="8">
        <f t="shared" si="9"/>
        <v>0</v>
      </c>
      <c r="AY24" s="8">
        <v>0</v>
      </c>
      <c r="AZ24" s="8">
        <v>0</v>
      </c>
      <c r="BA24" s="8">
        <v>0</v>
      </c>
      <c r="BB24" s="8">
        <v>0</v>
      </c>
      <c r="BC24" s="8">
        <v>0</v>
      </c>
      <c r="BD24" s="8">
        <f t="shared" si="10"/>
        <v>0</v>
      </c>
      <c r="BE24" s="8">
        <f t="shared" si="11"/>
        <v>0</v>
      </c>
      <c r="BF24" s="8">
        <v>0</v>
      </c>
      <c r="BG24" s="8">
        <v>0</v>
      </c>
      <c r="BH24" s="8">
        <v>0</v>
      </c>
      <c r="BI24" s="8">
        <v>0</v>
      </c>
      <c r="BJ24" s="8">
        <v>0</v>
      </c>
      <c r="BK24" s="8">
        <f t="shared" si="12"/>
        <v>0</v>
      </c>
      <c r="BL24" s="8">
        <f t="shared" si="13"/>
        <v>0</v>
      </c>
      <c r="BM24" s="8">
        <v>0</v>
      </c>
      <c r="BN24" s="8">
        <v>0</v>
      </c>
      <c r="BO24" s="8">
        <v>0</v>
      </c>
      <c r="BP24" s="8">
        <f t="shared" si="14"/>
        <v>4000</v>
      </c>
      <c r="BQ24" s="8">
        <f t="shared" si="15"/>
        <v>4000</v>
      </c>
      <c r="BR24" s="8">
        <v>4</v>
      </c>
      <c r="BS24" s="8">
        <v>0</v>
      </c>
      <c r="BT24" s="8">
        <v>0</v>
      </c>
      <c r="BU24" s="8">
        <f t="shared" si="16"/>
        <v>4000</v>
      </c>
      <c r="BV24" s="8">
        <f t="shared" si="17"/>
        <v>4000</v>
      </c>
      <c r="BW24" s="8">
        <v>4</v>
      </c>
      <c r="BX24" s="8">
        <v>0</v>
      </c>
      <c r="BY24" s="8">
        <v>0</v>
      </c>
      <c r="BZ24" s="8">
        <f t="shared" si="18"/>
        <v>4000</v>
      </c>
      <c r="CA24" s="8">
        <f t="shared" si="19"/>
        <v>4000</v>
      </c>
      <c r="CB24" s="8">
        <v>4</v>
      </c>
      <c r="CC24" s="8">
        <v>0</v>
      </c>
      <c r="CD24" s="8">
        <v>0</v>
      </c>
      <c r="CE24" s="8">
        <f t="shared" si="20"/>
        <v>4000</v>
      </c>
      <c r="CF24" s="8">
        <f t="shared" si="21"/>
        <v>4000</v>
      </c>
      <c r="CG24" s="8">
        <v>4</v>
      </c>
      <c r="CH24" s="8">
        <v>0</v>
      </c>
      <c r="CI24" s="8">
        <v>0</v>
      </c>
      <c r="CJ24" s="8">
        <f t="shared" si="22"/>
        <v>4000</v>
      </c>
      <c r="CK24" s="8">
        <f t="shared" si="23"/>
        <v>4000</v>
      </c>
      <c r="CL24" s="8">
        <v>4</v>
      </c>
      <c r="CM24" s="8">
        <v>0</v>
      </c>
      <c r="CN24" s="8">
        <v>0</v>
      </c>
      <c r="CO24" s="8">
        <v>0</v>
      </c>
      <c r="CP24" s="9">
        <f t="shared" si="24"/>
        <v>20000</v>
      </c>
      <c r="CQ24" s="9">
        <f t="shared" si="25"/>
        <v>20000</v>
      </c>
      <c r="CR24" s="8">
        <v>2</v>
      </c>
      <c r="CS24" s="8">
        <v>0</v>
      </c>
      <c r="CT24" s="8">
        <v>0</v>
      </c>
      <c r="CU24" s="8">
        <v>0</v>
      </c>
      <c r="CV24" s="8">
        <f t="shared" si="26"/>
        <v>-20000</v>
      </c>
      <c r="CW24" s="8">
        <f t="shared" si="27"/>
        <v>-20000</v>
      </c>
      <c r="CX24" s="8">
        <v>0</v>
      </c>
      <c r="CY24" s="8">
        <v>0</v>
      </c>
      <c r="CZ24" s="8">
        <v>0</v>
      </c>
      <c r="DA24" s="8">
        <v>0</v>
      </c>
      <c r="DB24" s="8">
        <f t="shared" si="28"/>
        <v>20000</v>
      </c>
      <c r="DC24" s="8">
        <f t="shared" si="29"/>
        <v>20000</v>
      </c>
    </row>
    <row r="25" spans="1:107" s="4" customFormat="1">
      <c r="A25" s="24" t="s">
        <v>126</v>
      </c>
      <c r="C25" s="5" t="s">
        <v>105</v>
      </c>
      <c r="D25" s="5" t="s">
        <v>106</v>
      </c>
      <c r="E25" s="5" t="s">
        <v>107</v>
      </c>
      <c r="F25" s="23" t="s">
        <v>169</v>
      </c>
      <c r="G25" s="5"/>
      <c r="H25" s="5" t="s">
        <v>170</v>
      </c>
      <c r="I25" s="5">
        <v>5841813202</v>
      </c>
      <c r="J25" s="5" t="s">
        <v>109</v>
      </c>
      <c r="K25" s="5" t="s">
        <v>170</v>
      </c>
      <c r="L25" s="5" t="s">
        <v>170</v>
      </c>
      <c r="M25" s="5" t="s">
        <v>163</v>
      </c>
      <c r="N25" s="5" t="s">
        <v>112</v>
      </c>
      <c r="O25" s="6" t="s">
        <v>113</v>
      </c>
      <c r="P25" s="6"/>
      <c r="Q25" s="7"/>
      <c r="R25" s="7"/>
      <c r="S25" s="8">
        <v>0</v>
      </c>
      <c r="T25" s="8">
        <v>0</v>
      </c>
      <c r="U25" s="8">
        <f t="shared" ref="U25" si="60">1000*W25</f>
        <v>0</v>
      </c>
      <c r="V25" s="8">
        <f t="shared" ref="V25" si="61">1000*W25</f>
        <v>0</v>
      </c>
      <c r="W25" s="8">
        <v>0</v>
      </c>
      <c r="X25" s="8">
        <v>0</v>
      </c>
      <c r="Y25" s="8">
        <v>0</v>
      </c>
      <c r="Z25" s="8">
        <v>0</v>
      </c>
      <c r="AA25" s="8">
        <v>0</v>
      </c>
      <c r="AB25" s="8">
        <f t="shared" ref="AB25" si="62">1000*AD25</f>
        <v>0</v>
      </c>
      <c r="AC25" s="8">
        <f t="shared" ref="AC25" si="63">1000*AD25</f>
        <v>0</v>
      </c>
      <c r="AD25" s="8">
        <v>0</v>
      </c>
      <c r="AE25" s="8">
        <v>0</v>
      </c>
      <c r="AF25" s="8">
        <v>0</v>
      </c>
      <c r="AG25" s="8">
        <v>0</v>
      </c>
      <c r="AH25" s="8">
        <v>0</v>
      </c>
      <c r="AI25" s="8">
        <f t="shared" ref="AI25" si="64">1000*AK25</f>
        <v>0</v>
      </c>
      <c r="AJ25" s="8">
        <f t="shared" ref="AJ25" si="65">1000*AK25</f>
        <v>0</v>
      </c>
      <c r="AK25" s="8">
        <v>0</v>
      </c>
      <c r="AL25" s="8">
        <v>0</v>
      </c>
      <c r="AM25" s="8">
        <v>0</v>
      </c>
      <c r="AN25" s="8">
        <v>0</v>
      </c>
      <c r="AO25" s="8">
        <v>0</v>
      </c>
      <c r="AP25" s="8">
        <f t="shared" ref="AP25" si="66">1000*AR25</f>
        <v>0</v>
      </c>
      <c r="AQ25" s="8">
        <f t="shared" ref="AQ25" si="67">1000*AR25</f>
        <v>0</v>
      </c>
      <c r="AR25" s="8">
        <v>0</v>
      </c>
      <c r="AS25" s="8">
        <v>0</v>
      </c>
      <c r="AT25" s="8">
        <v>0</v>
      </c>
      <c r="AU25" s="8">
        <v>0</v>
      </c>
      <c r="AV25" s="8">
        <v>0</v>
      </c>
      <c r="AW25" s="8">
        <f t="shared" ref="AW25" si="68">1000*AY25</f>
        <v>0</v>
      </c>
      <c r="AX25" s="8">
        <f t="shared" ref="AX25" si="69">1000*AY25</f>
        <v>0</v>
      </c>
      <c r="AY25" s="8">
        <v>0</v>
      </c>
      <c r="AZ25" s="8">
        <v>0</v>
      </c>
      <c r="BA25" s="8">
        <v>0</v>
      </c>
      <c r="BB25" s="8">
        <v>0</v>
      </c>
      <c r="BC25" s="8">
        <v>0</v>
      </c>
      <c r="BD25" s="8">
        <f t="shared" ref="BD25" si="70">1000*BF25</f>
        <v>0</v>
      </c>
      <c r="BE25" s="8">
        <f t="shared" ref="BE25" si="71">1000*BF25</f>
        <v>0</v>
      </c>
      <c r="BF25" s="8">
        <v>0</v>
      </c>
      <c r="BG25" s="8">
        <v>0</v>
      </c>
      <c r="BH25" s="8">
        <v>0</v>
      </c>
      <c r="BI25" s="8">
        <v>0</v>
      </c>
      <c r="BJ25" s="8">
        <v>0</v>
      </c>
      <c r="BK25" s="8">
        <f t="shared" ref="BK25" si="72">1000*BM25</f>
        <v>0</v>
      </c>
      <c r="BL25" s="8">
        <f t="shared" ref="BL25" si="73">1000*BM25</f>
        <v>0</v>
      </c>
      <c r="BM25" s="8">
        <v>0</v>
      </c>
      <c r="BN25" s="8">
        <v>0</v>
      </c>
      <c r="BO25" s="8">
        <v>0</v>
      </c>
      <c r="BP25" s="8">
        <f t="shared" ref="BP25" si="74">1000*BR25</f>
        <v>4000</v>
      </c>
      <c r="BQ25" s="8">
        <f t="shared" ref="BQ25" si="75">1000*BR25</f>
        <v>4000</v>
      </c>
      <c r="BR25" s="8">
        <v>4</v>
      </c>
      <c r="BS25" s="8">
        <v>0</v>
      </c>
      <c r="BT25" s="8">
        <v>0</v>
      </c>
      <c r="BU25" s="8">
        <f t="shared" ref="BU25" si="76">1000*BW25</f>
        <v>4000</v>
      </c>
      <c r="BV25" s="8">
        <f t="shared" ref="BV25" si="77">1000*BW25</f>
        <v>4000</v>
      </c>
      <c r="BW25" s="8">
        <v>4</v>
      </c>
      <c r="BX25" s="8">
        <v>0</v>
      </c>
      <c r="BY25" s="8">
        <v>0</v>
      </c>
      <c r="BZ25" s="8">
        <f t="shared" ref="BZ25" si="78">1000*CB25</f>
        <v>4000</v>
      </c>
      <c r="CA25" s="8">
        <f t="shared" ref="CA25" si="79">1000*CB25</f>
        <v>4000</v>
      </c>
      <c r="CB25" s="8">
        <v>4</v>
      </c>
      <c r="CC25" s="8">
        <v>0</v>
      </c>
      <c r="CD25" s="8">
        <v>0</v>
      </c>
      <c r="CE25" s="8">
        <f t="shared" ref="CE25" si="80">1000*CG25</f>
        <v>4000</v>
      </c>
      <c r="CF25" s="8">
        <f t="shared" ref="CF25" si="81">1000*CG25</f>
        <v>4000</v>
      </c>
      <c r="CG25" s="8">
        <v>4</v>
      </c>
      <c r="CH25" s="8">
        <v>0</v>
      </c>
      <c r="CI25" s="8">
        <v>0</v>
      </c>
      <c r="CJ25" s="8">
        <f t="shared" ref="CJ25" si="82">1000*CL25</f>
        <v>4000</v>
      </c>
      <c r="CK25" s="8">
        <f t="shared" ref="CK25" si="83">1000*CL25</f>
        <v>4000</v>
      </c>
      <c r="CL25" s="8">
        <v>4</v>
      </c>
      <c r="CM25" s="8">
        <v>0</v>
      </c>
      <c r="CN25" s="8">
        <v>0</v>
      </c>
      <c r="CO25" s="8">
        <v>0</v>
      </c>
      <c r="CP25" s="9">
        <f t="shared" ref="CP25" si="84">SUM(U25,AB25,AI25,AP25,AW25,BD25,BK25,BP25,BU25,BZ25,CE25,CJ25)</f>
        <v>20000</v>
      </c>
      <c r="CQ25" s="9">
        <f t="shared" ref="CQ25" si="85">SUM(V25,AC25,AJ25,AQ25,AX25,BE25,BL25,BQ25,BV25,CA25,CF25,CK25)</f>
        <v>20000</v>
      </c>
      <c r="CR25" s="8">
        <v>2</v>
      </c>
      <c r="CS25" s="8">
        <v>0</v>
      </c>
      <c r="CT25" s="8">
        <v>0</v>
      </c>
      <c r="CU25" s="8">
        <v>0</v>
      </c>
      <c r="CV25" s="8">
        <f t="shared" ref="CV25" si="86">CT25-CP25</f>
        <v>-20000</v>
      </c>
      <c r="CW25" s="8">
        <f t="shared" ref="CW25" si="87">CU25-CQ25</f>
        <v>-20000</v>
      </c>
      <c r="CX25" s="8">
        <v>0</v>
      </c>
      <c r="CY25" s="8">
        <v>0</v>
      </c>
      <c r="CZ25" s="8">
        <v>0</v>
      </c>
      <c r="DA25" s="8">
        <v>0</v>
      </c>
      <c r="DB25" s="8">
        <f t="shared" ref="DB25" si="88">CP25</f>
        <v>20000</v>
      </c>
      <c r="DC25" s="8">
        <f t="shared" ref="DC25" si="89">CQ25</f>
        <v>20000</v>
      </c>
    </row>
    <row r="26" spans="1:107" s="10" customFormat="1">
      <c r="B26" s="25" t="s">
        <v>126</v>
      </c>
      <c r="C26" s="11" t="s">
        <v>105</v>
      </c>
      <c r="D26" s="11" t="s">
        <v>106</v>
      </c>
      <c r="E26" s="11" t="s">
        <v>107</v>
      </c>
      <c r="F26" s="23" t="s">
        <v>171</v>
      </c>
      <c r="G26" s="11"/>
      <c r="H26" s="11" t="s">
        <v>172</v>
      </c>
      <c r="I26" s="11">
        <v>5841813202</v>
      </c>
      <c r="J26" s="11" t="s">
        <v>109</v>
      </c>
      <c r="K26" s="11" t="s">
        <v>172</v>
      </c>
      <c r="L26" s="11" t="s">
        <v>172</v>
      </c>
      <c r="M26" s="11" t="s">
        <v>163</v>
      </c>
      <c r="N26" s="11" t="s">
        <v>112</v>
      </c>
      <c r="O26" s="12" t="s">
        <v>113</v>
      </c>
      <c r="P26" s="12"/>
      <c r="Q26" s="13"/>
      <c r="R26" s="13"/>
      <c r="S26" s="14">
        <v>0</v>
      </c>
      <c r="T26" s="14">
        <v>0</v>
      </c>
      <c r="U26" s="8">
        <f t="shared" si="0"/>
        <v>0</v>
      </c>
      <c r="V26" s="8">
        <f t="shared" si="1"/>
        <v>0</v>
      </c>
      <c r="W26" s="14">
        <v>0</v>
      </c>
      <c r="X26" s="14">
        <v>0</v>
      </c>
      <c r="Y26" s="14">
        <v>0</v>
      </c>
      <c r="Z26" s="14">
        <v>0</v>
      </c>
      <c r="AA26" s="14">
        <v>0</v>
      </c>
      <c r="AB26" s="8">
        <f t="shared" si="2"/>
        <v>0</v>
      </c>
      <c r="AC26" s="8">
        <f t="shared" si="3"/>
        <v>0</v>
      </c>
      <c r="AD26" s="14">
        <v>0</v>
      </c>
      <c r="AE26" s="14">
        <v>0</v>
      </c>
      <c r="AF26" s="14">
        <v>0</v>
      </c>
      <c r="AG26" s="14">
        <v>0</v>
      </c>
      <c r="AH26" s="8">
        <v>0</v>
      </c>
      <c r="AI26" s="8">
        <f t="shared" si="4"/>
        <v>0</v>
      </c>
      <c r="AJ26" s="8">
        <f t="shared" si="5"/>
        <v>0</v>
      </c>
      <c r="AK26" s="14">
        <v>0</v>
      </c>
      <c r="AL26" s="14">
        <v>0</v>
      </c>
      <c r="AM26" s="14">
        <v>0</v>
      </c>
      <c r="AN26" s="14">
        <v>0</v>
      </c>
      <c r="AO26" s="8">
        <v>0</v>
      </c>
      <c r="AP26" s="8">
        <f t="shared" si="6"/>
        <v>0</v>
      </c>
      <c r="AQ26" s="8">
        <f t="shared" si="7"/>
        <v>0</v>
      </c>
      <c r="AR26" s="14">
        <v>0</v>
      </c>
      <c r="AS26" s="14">
        <v>0</v>
      </c>
      <c r="AT26" s="14">
        <v>0</v>
      </c>
      <c r="AU26" s="14">
        <v>0</v>
      </c>
      <c r="AV26" s="8">
        <v>0</v>
      </c>
      <c r="AW26" s="8">
        <f t="shared" si="8"/>
        <v>0</v>
      </c>
      <c r="AX26" s="8">
        <f t="shared" si="9"/>
        <v>0</v>
      </c>
      <c r="AY26" s="14">
        <v>0</v>
      </c>
      <c r="AZ26" s="14">
        <v>0</v>
      </c>
      <c r="BA26" s="14">
        <v>0</v>
      </c>
      <c r="BB26" s="14">
        <v>0</v>
      </c>
      <c r="BC26" s="8">
        <v>0</v>
      </c>
      <c r="BD26" s="8">
        <f t="shared" si="10"/>
        <v>0</v>
      </c>
      <c r="BE26" s="8">
        <f t="shared" si="11"/>
        <v>0</v>
      </c>
      <c r="BF26" s="14">
        <v>0</v>
      </c>
      <c r="BG26" s="14">
        <v>0</v>
      </c>
      <c r="BH26" s="14">
        <v>0</v>
      </c>
      <c r="BI26" s="14">
        <v>0</v>
      </c>
      <c r="BJ26" s="8">
        <v>0</v>
      </c>
      <c r="BK26" s="8">
        <f t="shared" si="12"/>
        <v>0</v>
      </c>
      <c r="BL26" s="8">
        <f t="shared" si="13"/>
        <v>0</v>
      </c>
      <c r="BM26" s="14">
        <v>0</v>
      </c>
      <c r="BN26" s="14">
        <v>0</v>
      </c>
      <c r="BO26" s="14">
        <v>0</v>
      </c>
      <c r="BP26" s="8">
        <f t="shared" si="14"/>
        <v>4000</v>
      </c>
      <c r="BQ26" s="8">
        <f t="shared" si="15"/>
        <v>4000</v>
      </c>
      <c r="BR26" s="14">
        <v>4</v>
      </c>
      <c r="BS26" s="14">
        <v>0</v>
      </c>
      <c r="BT26" s="14">
        <v>0</v>
      </c>
      <c r="BU26" s="8">
        <f t="shared" si="16"/>
        <v>4000</v>
      </c>
      <c r="BV26" s="8">
        <f t="shared" si="17"/>
        <v>4000</v>
      </c>
      <c r="BW26" s="14">
        <v>4</v>
      </c>
      <c r="BX26" s="14">
        <v>0</v>
      </c>
      <c r="BY26" s="14">
        <v>0</v>
      </c>
      <c r="BZ26" s="8">
        <f t="shared" si="18"/>
        <v>4000</v>
      </c>
      <c r="CA26" s="8">
        <f t="shared" si="19"/>
        <v>4000</v>
      </c>
      <c r="CB26" s="14">
        <v>4</v>
      </c>
      <c r="CC26" s="14">
        <v>0</v>
      </c>
      <c r="CD26" s="14">
        <v>0</v>
      </c>
      <c r="CE26" s="8">
        <f t="shared" si="20"/>
        <v>4000</v>
      </c>
      <c r="CF26" s="8">
        <f t="shared" si="21"/>
        <v>4000</v>
      </c>
      <c r="CG26" s="14">
        <v>4</v>
      </c>
      <c r="CH26" s="14">
        <v>0</v>
      </c>
      <c r="CI26" s="14">
        <v>0</v>
      </c>
      <c r="CJ26" s="8">
        <f t="shared" si="22"/>
        <v>4000</v>
      </c>
      <c r="CK26" s="8">
        <f t="shared" si="23"/>
        <v>4000</v>
      </c>
      <c r="CL26" s="14">
        <v>4</v>
      </c>
      <c r="CM26" s="14">
        <v>0</v>
      </c>
      <c r="CN26" s="14">
        <v>0</v>
      </c>
      <c r="CO26" s="14">
        <v>0</v>
      </c>
      <c r="CP26" s="9">
        <f t="shared" si="24"/>
        <v>20000</v>
      </c>
      <c r="CQ26" s="9">
        <f t="shared" si="25"/>
        <v>20000</v>
      </c>
      <c r="CR26" s="14">
        <v>2</v>
      </c>
      <c r="CS26" s="14">
        <v>0</v>
      </c>
      <c r="CT26" s="14">
        <v>0</v>
      </c>
      <c r="CU26" s="14">
        <v>0</v>
      </c>
      <c r="CV26" s="8">
        <f t="shared" si="26"/>
        <v>-20000</v>
      </c>
      <c r="CW26" s="8">
        <f t="shared" si="27"/>
        <v>-20000</v>
      </c>
      <c r="CX26" s="14">
        <v>0</v>
      </c>
      <c r="CY26" s="14">
        <v>0</v>
      </c>
      <c r="CZ26" s="14">
        <v>0</v>
      </c>
      <c r="DA26" s="14">
        <v>0</v>
      </c>
      <c r="DB26" s="8">
        <f t="shared" si="28"/>
        <v>20000</v>
      </c>
      <c r="DC26" s="8">
        <f t="shared" si="29"/>
        <v>20000</v>
      </c>
    </row>
    <row r="27" spans="1:107" s="10" customFormat="1">
      <c r="B27" s="25" t="s">
        <v>126</v>
      </c>
      <c r="C27" s="11" t="s">
        <v>105</v>
      </c>
      <c r="D27" s="11" t="s">
        <v>106</v>
      </c>
      <c r="E27" s="11" t="s">
        <v>107</v>
      </c>
      <c r="F27" s="23" t="s">
        <v>171</v>
      </c>
      <c r="G27" s="11"/>
      <c r="H27" s="11" t="s">
        <v>172</v>
      </c>
      <c r="I27" s="11">
        <v>5841813202</v>
      </c>
      <c r="J27" s="11" t="s">
        <v>109</v>
      </c>
      <c r="K27" s="11" t="s">
        <v>172</v>
      </c>
      <c r="L27" s="11" t="s">
        <v>172</v>
      </c>
      <c r="M27" s="11" t="s">
        <v>163</v>
      </c>
      <c r="N27" s="11" t="s">
        <v>112</v>
      </c>
      <c r="O27" s="12" t="s">
        <v>113</v>
      </c>
      <c r="P27" s="12"/>
      <c r="Q27" s="13"/>
      <c r="R27" s="13"/>
      <c r="S27" s="14">
        <v>0</v>
      </c>
      <c r="T27" s="14">
        <v>0</v>
      </c>
      <c r="U27" s="8">
        <f t="shared" ref="U27" si="90">1000*W27</f>
        <v>0</v>
      </c>
      <c r="V27" s="8">
        <f t="shared" ref="V27" si="91">1000*W27</f>
        <v>0</v>
      </c>
      <c r="W27" s="14">
        <v>0</v>
      </c>
      <c r="X27" s="14">
        <v>0</v>
      </c>
      <c r="Y27" s="14">
        <v>0</v>
      </c>
      <c r="Z27" s="14">
        <v>0</v>
      </c>
      <c r="AA27" s="14">
        <v>0</v>
      </c>
      <c r="AB27" s="8">
        <f t="shared" ref="AB27" si="92">1000*AD27</f>
        <v>0</v>
      </c>
      <c r="AC27" s="8">
        <f t="shared" ref="AC27" si="93">1000*AD27</f>
        <v>0</v>
      </c>
      <c r="AD27" s="14">
        <v>0</v>
      </c>
      <c r="AE27" s="14">
        <v>0</v>
      </c>
      <c r="AF27" s="14">
        <v>0</v>
      </c>
      <c r="AG27" s="14">
        <v>0</v>
      </c>
      <c r="AH27" s="8">
        <v>0</v>
      </c>
      <c r="AI27" s="8">
        <f t="shared" ref="AI27" si="94">1000*AK27</f>
        <v>0</v>
      </c>
      <c r="AJ27" s="8">
        <f t="shared" ref="AJ27" si="95">1000*AK27</f>
        <v>0</v>
      </c>
      <c r="AK27" s="14">
        <v>0</v>
      </c>
      <c r="AL27" s="14">
        <v>0</v>
      </c>
      <c r="AM27" s="14">
        <v>0</v>
      </c>
      <c r="AN27" s="14">
        <v>0</v>
      </c>
      <c r="AO27" s="8">
        <v>0</v>
      </c>
      <c r="AP27" s="8">
        <f t="shared" ref="AP27" si="96">1000*AR27</f>
        <v>0</v>
      </c>
      <c r="AQ27" s="8">
        <f t="shared" ref="AQ27" si="97">1000*AR27</f>
        <v>0</v>
      </c>
      <c r="AR27" s="14">
        <v>0</v>
      </c>
      <c r="AS27" s="14">
        <v>0</v>
      </c>
      <c r="AT27" s="14">
        <v>0</v>
      </c>
      <c r="AU27" s="14">
        <v>0</v>
      </c>
      <c r="AV27" s="8">
        <v>0</v>
      </c>
      <c r="AW27" s="8">
        <f t="shared" ref="AW27" si="98">1000*AY27</f>
        <v>0</v>
      </c>
      <c r="AX27" s="8">
        <f t="shared" ref="AX27" si="99">1000*AY27</f>
        <v>0</v>
      </c>
      <c r="AY27" s="14">
        <v>0</v>
      </c>
      <c r="AZ27" s="14">
        <v>0</v>
      </c>
      <c r="BA27" s="14">
        <v>0</v>
      </c>
      <c r="BB27" s="14">
        <v>0</v>
      </c>
      <c r="BC27" s="8">
        <v>0</v>
      </c>
      <c r="BD27" s="8">
        <f t="shared" ref="BD27" si="100">1000*BF27</f>
        <v>0</v>
      </c>
      <c r="BE27" s="8">
        <f t="shared" ref="BE27" si="101">1000*BF27</f>
        <v>0</v>
      </c>
      <c r="BF27" s="14">
        <v>0</v>
      </c>
      <c r="BG27" s="14">
        <v>0</v>
      </c>
      <c r="BH27" s="14">
        <v>0</v>
      </c>
      <c r="BI27" s="14">
        <v>0</v>
      </c>
      <c r="BJ27" s="8">
        <v>0</v>
      </c>
      <c r="BK27" s="8">
        <f t="shared" ref="BK27" si="102">1000*BM27</f>
        <v>0</v>
      </c>
      <c r="BL27" s="8">
        <f t="shared" ref="BL27" si="103">1000*BM27</f>
        <v>0</v>
      </c>
      <c r="BM27" s="14">
        <v>0</v>
      </c>
      <c r="BN27" s="14">
        <v>0</v>
      </c>
      <c r="BO27" s="14">
        <v>0</v>
      </c>
      <c r="BP27" s="8">
        <f t="shared" ref="BP27" si="104">1000*BR27</f>
        <v>4000</v>
      </c>
      <c r="BQ27" s="8">
        <f t="shared" ref="BQ27" si="105">1000*BR27</f>
        <v>4000</v>
      </c>
      <c r="BR27" s="14">
        <v>4</v>
      </c>
      <c r="BS27" s="14">
        <v>0</v>
      </c>
      <c r="BT27" s="14">
        <v>0</v>
      </c>
      <c r="BU27" s="8">
        <f t="shared" ref="BU27" si="106">1000*BW27</f>
        <v>4000</v>
      </c>
      <c r="BV27" s="8">
        <f t="shared" ref="BV27" si="107">1000*BW27</f>
        <v>4000</v>
      </c>
      <c r="BW27" s="14">
        <v>4</v>
      </c>
      <c r="BX27" s="14">
        <v>0</v>
      </c>
      <c r="BY27" s="14">
        <v>0</v>
      </c>
      <c r="BZ27" s="8">
        <f t="shared" ref="BZ27" si="108">1000*CB27</f>
        <v>4000</v>
      </c>
      <c r="CA27" s="8">
        <f t="shared" ref="CA27" si="109">1000*CB27</f>
        <v>4000</v>
      </c>
      <c r="CB27" s="14">
        <v>4</v>
      </c>
      <c r="CC27" s="14">
        <v>0</v>
      </c>
      <c r="CD27" s="14">
        <v>0</v>
      </c>
      <c r="CE27" s="8">
        <f t="shared" ref="CE27" si="110">1000*CG27</f>
        <v>4000</v>
      </c>
      <c r="CF27" s="8">
        <f t="shared" ref="CF27" si="111">1000*CG27</f>
        <v>4000</v>
      </c>
      <c r="CG27" s="14">
        <v>4</v>
      </c>
      <c r="CH27" s="14">
        <v>0</v>
      </c>
      <c r="CI27" s="14">
        <v>0</v>
      </c>
      <c r="CJ27" s="8">
        <f t="shared" ref="CJ27" si="112">1000*CL27</f>
        <v>4000</v>
      </c>
      <c r="CK27" s="8">
        <f t="shared" ref="CK27" si="113">1000*CL27</f>
        <v>4000</v>
      </c>
      <c r="CL27" s="14">
        <v>4</v>
      </c>
      <c r="CM27" s="14">
        <v>0</v>
      </c>
      <c r="CN27" s="14">
        <v>0</v>
      </c>
      <c r="CO27" s="14">
        <v>0</v>
      </c>
      <c r="CP27" s="9">
        <f t="shared" ref="CP27" si="114">SUM(U27,AB27,AI27,AP27,AW27,BD27,BK27,BP27,BU27,BZ27,CE27,CJ27)</f>
        <v>20000</v>
      </c>
      <c r="CQ27" s="9">
        <f t="shared" ref="CQ27" si="115">SUM(V27,AC27,AJ27,AQ27,AX27,BE27,BL27,BQ27,BV27,CA27,CF27,CK27)</f>
        <v>20000</v>
      </c>
      <c r="CR27" s="14">
        <v>2</v>
      </c>
      <c r="CS27" s="14">
        <v>0</v>
      </c>
      <c r="CT27" s="14">
        <v>0</v>
      </c>
      <c r="CU27" s="14">
        <v>0</v>
      </c>
      <c r="CV27" s="8">
        <f t="shared" ref="CV27" si="116">CT27-CP27</f>
        <v>-20000</v>
      </c>
      <c r="CW27" s="8">
        <f t="shared" ref="CW27" si="117">CU27-CQ27</f>
        <v>-20000</v>
      </c>
      <c r="CX27" s="14">
        <v>0</v>
      </c>
      <c r="CY27" s="14">
        <v>0</v>
      </c>
      <c r="CZ27" s="14">
        <v>0</v>
      </c>
      <c r="DA27" s="14">
        <v>0</v>
      </c>
      <c r="DB27" s="8">
        <f t="shared" ref="DB27" si="118">CP27</f>
        <v>20000</v>
      </c>
      <c r="DC27" s="8">
        <f t="shared" ref="DC27" si="119">CQ27</f>
        <v>20000</v>
      </c>
    </row>
    <row r="28" spans="1:107" s="4" customFormat="1" ht="26">
      <c r="C28" s="5"/>
      <c r="D28" s="26" t="s">
        <v>199</v>
      </c>
      <c r="E28" s="5"/>
      <c r="F28" s="22" t="s">
        <v>197</v>
      </c>
      <c r="G28" s="5"/>
      <c r="H28" s="5"/>
      <c r="I28" s="5"/>
      <c r="J28" s="5"/>
      <c r="K28" s="5"/>
      <c r="L28" s="5"/>
      <c r="M28" s="5"/>
      <c r="N28" s="5"/>
      <c r="O28" s="6"/>
      <c r="P28" s="6"/>
      <c r="Q28" s="7"/>
      <c r="R28" s="7"/>
      <c r="S28" s="8">
        <v>0</v>
      </c>
      <c r="T28" s="8">
        <v>0</v>
      </c>
      <c r="U28" s="8">
        <f>SUM(U3:U26)</f>
        <v>78000</v>
      </c>
      <c r="V28" s="8">
        <f>SUM(V3:V26)</f>
        <v>78000</v>
      </c>
      <c r="W28" s="8">
        <v>78</v>
      </c>
      <c r="X28" s="8">
        <v>0</v>
      </c>
      <c r="Y28" s="8">
        <v>0</v>
      </c>
      <c r="Z28" s="8">
        <v>0</v>
      </c>
      <c r="AA28" s="8">
        <v>0</v>
      </c>
      <c r="AB28" s="8">
        <f>SUM(AB3:AB26)</f>
        <v>93000</v>
      </c>
      <c r="AC28" s="8">
        <f>SUM(AC3:AC26)</f>
        <v>93000</v>
      </c>
      <c r="AD28" s="8">
        <v>88</v>
      </c>
      <c r="AE28" s="8">
        <v>0</v>
      </c>
      <c r="AF28" s="8">
        <v>0</v>
      </c>
      <c r="AG28" s="8">
        <v>0</v>
      </c>
      <c r="AH28" s="8">
        <v>0</v>
      </c>
      <c r="AI28" s="8">
        <f>SUM(AI3:AI26)</f>
        <v>93000</v>
      </c>
      <c r="AJ28" s="8">
        <f>SUM(AJ3:AJ26)</f>
        <v>93000</v>
      </c>
      <c r="AK28" s="8">
        <v>88</v>
      </c>
      <c r="AL28" s="8">
        <v>0</v>
      </c>
      <c r="AM28" s="8">
        <v>0</v>
      </c>
      <c r="AN28" s="8">
        <v>0</v>
      </c>
      <c r="AO28" s="8">
        <v>0</v>
      </c>
      <c r="AP28" s="8">
        <f>SUM(AP3:AP26)</f>
        <v>99000</v>
      </c>
      <c r="AQ28" s="8">
        <f>SUM(AQ3:AQ26)</f>
        <v>99000</v>
      </c>
      <c r="AR28" s="8">
        <v>94</v>
      </c>
      <c r="AS28" s="8">
        <v>0</v>
      </c>
      <c r="AT28" s="8">
        <v>0</v>
      </c>
      <c r="AU28" s="8">
        <v>0</v>
      </c>
      <c r="AV28" s="8">
        <v>0</v>
      </c>
      <c r="AW28" s="8">
        <f>SUM(AW3:AW26)</f>
        <v>99000</v>
      </c>
      <c r="AX28" s="8">
        <f>SUM(AX3:AX26)</f>
        <v>99000</v>
      </c>
      <c r="AY28" s="8">
        <v>94</v>
      </c>
      <c r="AZ28" s="8">
        <v>818.01</v>
      </c>
      <c r="BA28" s="8">
        <v>0</v>
      </c>
      <c r="BB28" s="8">
        <v>0</v>
      </c>
      <c r="BC28" s="8">
        <v>0</v>
      </c>
      <c r="BD28" s="8">
        <f>SUM(BD3:BD26)</f>
        <v>103000</v>
      </c>
      <c r="BE28" s="8">
        <f>SUM(BE3:BE26)</f>
        <v>103000</v>
      </c>
      <c r="BF28" s="8">
        <v>98</v>
      </c>
      <c r="BG28" s="8">
        <v>0</v>
      </c>
      <c r="BH28" s="8">
        <v>0</v>
      </c>
      <c r="BI28" s="8">
        <v>0</v>
      </c>
      <c r="BJ28" s="8">
        <v>0</v>
      </c>
      <c r="BK28" s="8">
        <f>SUM(BK3:BK26)</f>
        <v>103000</v>
      </c>
      <c r="BL28" s="8">
        <f>SUM(BL3:BL26)</f>
        <v>103000</v>
      </c>
      <c r="BM28" s="8">
        <v>98</v>
      </c>
      <c r="BN28" s="8">
        <v>0</v>
      </c>
      <c r="BO28" s="8">
        <v>0</v>
      </c>
      <c r="BP28" s="8">
        <f>SUM(BP3:BP26)</f>
        <v>106000</v>
      </c>
      <c r="BQ28" s="8">
        <f>SUM(BQ3:BQ26)</f>
        <v>106000</v>
      </c>
      <c r="BR28" s="8">
        <v>97</v>
      </c>
      <c r="BS28" s="8">
        <v>0</v>
      </c>
      <c r="BT28" s="8">
        <v>0</v>
      </c>
      <c r="BU28" s="8">
        <f>SUM(BU3:BU26)*(BU35/100)</f>
        <v>109440</v>
      </c>
      <c r="BV28" s="8">
        <f>SUM(BV3:BV26)*(BV35/100)</f>
        <v>106932</v>
      </c>
      <c r="BW28" s="8">
        <v>105</v>
      </c>
      <c r="BX28" s="8">
        <v>0</v>
      </c>
      <c r="BY28" s="8">
        <v>0</v>
      </c>
      <c r="BZ28" s="8">
        <f>SUM(BZ3:BZ26)*(BZ35/100)</f>
        <v>109440</v>
      </c>
      <c r="CA28" s="8">
        <f>SUM(CA3:CA26)*(CA35/100)</f>
        <v>106932</v>
      </c>
      <c r="CB28" s="8">
        <v>105</v>
      </c>
      <c r="CC28" s="8">
        <v>0</v>
      </c>
      <c r="CD28" s="8">
        <v>0</v>
      </c>
      <c r="CE28" s="8">
        <f>SUM(CE3:CE26)*(CE35/100)</f>
        <v>109440</v>
      </c>
      <c r="CF28" s="8">
        <f>SUM(CF3:CF26)*(CF35/100)</f>
        <v>106932</v>
      </c>
      <c r="CG28" s="8">
        <v>105</v>
      </c>
      <c r="CH28" s="8">
        <v>0</v>
      </c>
      <c r="CI28" s="8">
        <v>0</v>
      </c>
      <c r="CJ28" s="8">
        <f>SUM(CJ3:CJ26)*(CJ35/100)</f>
        <v>109440</v>
      </c>
      <c r="CK28" s="8">
        <f>SUM(CK3:CK26)*(CK35/100)</f>
        <v>106932</v>
      </c>
      <c r="CL28" s="8">
        <v>105</v>
      </c>
      <c r="CM28" s="8">
        <v>0</v>
      </c>
      <c r="CN28" s="8">
        <v>0</v>
      </c>
      <c r="CO28" s="8">
        <v>0</v>
      </c>
      <c r="CP28" s="9">
        <f>SUM(U28,AB28,AI28,AP28,AW28,BD28,BK28,BP28,BU28,BZ28,CE28,CJ28)</f>
        <v>1211760</v>
      </c>
      <c r="CQ28" s="9">
        <f t="shared" ref="CQ28" si="120">SUM(V28,AC28,AJ28,AQ28,AX28,BE28,BL28,BQ28,BV28,CA28,CF28,CK28)</f>
        <v>1201728</v>
      </c>
      <c r="CR28" s="8">
        <v>96.3</v>
      </c>
      <c r="CS28" s="8">
        <v>0</v>
      </c>
      <c r="CT28" s="8">
        <v>0</v>
      </c>
      <c r="CU28" s="8">
        <v>0</v>
      </c>
      <c r="CV28" s="8">
        <f>CT28-CP28</f>
        <v>-1211760</v>
      </c>
      <c r="CW28" s="8">
        <f>CU28-CQ28</f>
        <v>-1201728</v>
      </c>
      <c r="CX28" s="8">
        <v>0</v>
      </c>
      <c r="CY28" s="8">
        <v>0</v>
      </c>
      <c r="CZ28" s="8">
        <v>0</v>
      </c>
      <c r="DA28" s="8">
        <v>0</v>
      </c>
      <c r="DB28" s="8">
        <f t="shared" ref="DB28:DB34" si="121">CP28</f>
        <v>1211760</v>
      </c>
      <c r="DC28" s="8">
        <f t="shared" ref="DC28:DC34" si="122">CQ28</f>
        <v>1201728</v>
      </c>
    </row>
    <row r="29" spans="1:107" s="10" customFormat="1">
      <c r="C29" s="11"/>
      <c r="D29" s="11" t="s">
        <v>174</v>
      </c>
      <c r="E29" s="11"/>
      <c r="F29" s="27" t="s">
        <v>200</v>
      </c>
      <c r="G29" s="11"/>
      <c r="H29" s="11"/>
      <c r="I29" s="11"/>
      <c r="J29" s="11"/>
      <c r="K29" s="11"/>
      <c r="L29" s="11"/>
      <c r="M29" s="11"/>
      <c r="N29" s="11"/>
      <c r="O29" s="12"/>
      <c r="P29" s="12"/>
      <c r="Q29" s="13"/>
      <c r="R29" s="13"/>
      <c r="S29" s="14"/>
      <c r="T29" s="14"/>
      <c r="U29" s="14">
        <f>U28</f>
        <v>78000</v>
      </c>
      <c r="V29" s="14">
        <f>V28</f>
        <v>78000</v>
      </c>
      <c r="W29" s="14">
        <v>78</v>
      </c>
      <c r="X29" s="14">
        <v>0</v>
      </c>
      <c r="Y29" s="14">
        <v>0</v>
      </c>
      <c r="Z29" s="14">
        <v>0</v>
      </c>
      <c r="AA29" s="14">
        <v>0</v>
      </c>
      <c r="AB29" s="14">
        <f>AB28</f>
        <v>93000</v>
      </c>
      <c r="AC29" s="14">
        <f>AC28</f>
        <v>93000</v>
      </c>
      <c r="AD29" s="14">
        <v>88</v>
      </c>
      <c r="AE29" s="14">
        <v>0</v>
      </c>
      <c r="AF29" s="14">
        <v>0</v>
      </c>
      <c r="AG29" s="14">
        <v>0</v>
      </c>
      <c r="AH29" s="8">
        <v>0</v>
      </c>
      <c r="AI29" s="14">
        <f>AI28</f>
        <v>93000</v>
      </c>
      <c r="AJ29" s="14">
        <f>AJ28</f>
        <v>93000</v>
      </c>
      <c r="AK29" s="14">
        <v>88</v>
      </c>
      <c r="AL29" s="14">
        <v>0</v>
      </c>
      <c r="AM29" s="14">
        <v>0</v>
      </c>
      <c r="AN29" s="14">
        <v>0</v>
      </c>
      <c r="AO29" s="8">
        <v>0</v>
      </c>
      <c r="AP29" s="14">
        <f>AP28</f>
        <v>99000</v>
      </c>
      <c r="AQ29" s="14">
        <f>AQ28</f>
        <v>99000</v>
      </c>
      <c r="AR29" s="14">
        <v>94</v>
      </c>
      <c r="AS29" s="14">
        <v>0</v>
      </c>
      <c r="AT29" s="14">
        <v>0</v>
      </c>
      <c r="AU29" s="14">
        <v>0</v>
      </c>
      <c r="AV29" s="8">
        <v>0</v>
      </c>
      <c r="AW29" s="14">
        <f>AW28</f>
        <v>99000</v>
      </c>
      <c r="AX29" s="14">
        <f>AX28</f>
        <v>99000</v>
      </c>
      <c r="AY29" s="14">
        <v>94</v>
      </c>
      <c r="AZ29" s="14">
        <v>818.01</v>
      </c>
      <c r="BA29" s="14">
        <v>0</v>
      </c>
      <c r="BB29" s="14">
        <v>0</v>
      </c>
      <c r="BC29" s="8">
        <v>0</v>
      </c>
      <c r="BD29" s="14">
        <f>BD28</f>
        <v>103000</v>
      </c>
      <c r="BE29" s="14">
        <f>BE28</f>
        <v>103000</v>
      </c>
      <c r="BF29" s="14">
        <v>98</v>
      </c>
      <c r="BG29" s="14">
        <v>0</v>
      </c>
      <c r="BH29" s="14">
        <v>0</v>
      </c>
      <c r="BI29" s="14">
        <v>0</v>
      </c>
      <c r="BJ29" s="8">
        <v>0</v>
      </c>
      <c r="BK29" s="14">
        <f>BK28</f>
        <v>103000</v>
      </c>
      <c r="BL29" s="14">
        <f>BL28</f>
        <v>103000</v>
      </c>
      <c r="BM29" s="14">
        <v>98</v>
      </c>
      <c r="BN29" s="14">
        <v>0</v>
      </c>
      <c r="BO29" s="14">
        <v>0</v>
      </c>
      <c r="BP29" s="14">
        <f>BP28</f>
        <v>106000</v>
      </c>
      <c r="BQ29" s="14">
        <f>BQ28</f>
        <v>106000</v>
      </c>
      <c r="BR29" s="14">
        <v>97</v>
      </c>
      <c r="BS29" s="14">
        <v>0</v>
      </c>
      <c r="BT29" s="14">
        <v>0</v>
      </c>
      <c r="BU29" s="14">
        <f>BU28</f>
        <v>109440</v>
      </c>
      <c r="BV29" s="14">
        <f>BV28</f>
        <v>106932</v>
      </c>
      <c r="BW29" s="14">
        <v>105</v>
      </c>
      <c r="BX29" s="14">
        <v>0</v>
      </c>
      <c r="BY29" s="14">
        <v>0</v>
      </c>
      <c r="BZ29" s="14">
        <f>BZ28</f>
        <v>109440</v>
      </c>
      <c r="CA29" s="14">
        <f>CA28</f>
        <v>106932</v>
      </c>
      <c r="CB29" s="14">
        <v>105</v>
      </c>
      <c r="CC29" s="14">
        <v>0</v>
      </c>
      <c r="CD29" s="14">
        <v>0</v>
      </c>
      <c r="CE29" s="14">
        <f>CE28</f>
        <v>109440</v>
      </c>
      <c r="CF29" s="14">
        <f>CF28</f>
        <v>106932</v>
      </c>
      <c r="CG29" s="14">
        <v>105</v>
      </c>
      <c r="CH29" s="14">
        <v>0</v>
      </c>
      <c r="CI29" s="14">
        <v>0</v>
      </c>
      <c r="CJ29" s="14">
        <f>CJ28</f>
        <v>109440</v>
      </c>
      <c r="CK29" s="14">
        <f>CK28</f>
        <v>106932</v>
      </c>
      <c r="CL29" s="14">
        <v>105</v>
      </c>
      <c r="CM29" s="14">
        <v>0</v>
      </c>
      <c r="CN29" s="14">
        <v>0</v>
      </c>
      <c r="CO29" s="14">
        <v>0</v>
      </c>
      <c r="CP29" s="15">
        <f>CP28</f>
        <v>1211760</v>
      </c>
      <c r="CQ29" s="14">
        <f>CQ28</f>
        <v>1201728</v>
      </c>
      <c r="CR29" s="14">
        <v>96.4</v>
      </c>
      <c r="CS29" s="14">
        <v>0</v>
      </c>
      <c r="CT29" s="14">
        <v>0</v>
      </c>
      <c r="CU29" s="14">
        <v>0</v>
      </c>
      <c r="CV29" s="14">
        <f>CV28</f>
        <v>-1211760</v>
      </c>
      <c r="CW29" s="14">
        <f>CW28</f>
        <v>-1201728</v>
      </c>
      <c r="CX29" s="14">
        <v>0</v>
      </c>
      <c r="CY29" s="14">
        <v>0</v>
      </c>
      <c r="CZ29" s="14">
        <v>0</v>
      </c>
      <c r="DA29" s="14">
        <v>0</v>
      </c>
      <c r="DB29" s="8">
        <f t="shared" si="121"/>
        <v>1211760</v>
      </c>
      <c r="DC29" s="8">
        <f t="shared" si="122"/>
        <v>1201728</v>
      </c>
    </row>
    <row r="30" spans="1:107" s="4" customFormat="1">
      <c r="C30" s="5"/>
      <c r="D30" s="5" t="s">
        <v>175</v>
      </c>
      <c r="E30" s="5"/>
      <c r="F30" s="5"/>
      <c r="G30" s="5"/>
      <c r="H30" s="5"/>
      <c r="I30" s="5"/>
      <c r="J30" s="5"/>
      <c r="K30" s="5"/>
      <c r="L30" s="5"/>
      <c r="M30" s="5"/>
      <c r="N30" s="5"/>
      <c r="O30" s="6"/>
      <c r="P30" s="6"/>
      <c r="Q30" s="7"/>
      <c r="R30" s="7"/>
      <c r="S30" s="8"/>
      <c r="T30" s="8"/>
      <c r="U30" s="8">
        <v>0</v>
      </c>
      <c r="V30" s="16">
        <v>0</v>
      </c>
      <c r="W30" s="8">
        <v>0</v>
      </c>
      <c r="X30" s="8">
        <v>0</v>
      </c>
      <c r="Y30" s="8">
        <v>0</v>
      </c>
      <c r="Z30" s="8">
        <v>0</v>
      </c>
      <c r="AA30" s="8">
        <v>0</v>
      </c>
      <c r="AB30" s="8">
        <v>0</v>
      </c>
      <c r="AC30" s="16">
        <v>0</v>
      </c>
      <c r="AD30" s="8">
        <v>0</v>
      </c>
      <c r="AE30" s="8">
        <v>0</v>
      </c>
      <c r="AF30" s="8">
        <v>0</v>
      </c>
      <c r="AG30" s="8">
        <v>0</v>
      </c>
      <c r="AH30" s="8">
        <v>0</v>
      </c>
      <c r="AI30" s="8">
        <v>0</v>
      </c>
      <c r="AJ30" s="16">
        <v>0</v>
      </c>
      <c r="AK30" s="8">
        <v>0</v>
      </c>
      <c r="AL30" s="8">
        <v>0</v>
      </c>
      <c r="AM30" s="8">
        <v>0</v>
      </c>
      <c r="AN30" s="8">
        <v>0</v>
      </c>
      <c r="AO30" s="8">
        <v>0</v>
      </c>
      <c r="AP30" s="8">
        <v>0</v>
      </c>
      <c r="AQ30" s="16">
        <v>0</v>
      </c>
      <c r="AR30" s="8">
        <v>0</v>
      </c>
      <c r="AS30" s="8">
        <v>0</v>
      </c>
      <c r="AT30" s="8">
        <v>0</v>
      </c>
      <c r="AU30" s="8">
        <v>0</v>
      </c>
      <c r="AV30" s="8">
        <v>0</v>
      </c>
      <c r="AW30" s="8">
        <v>0</v>
      </c>
      <c r="AX30" s="16">
        <v>0</v>
      </c>
      <c r="AY30" s="8">
        <v>0</v>
      </c>
      <c r="AZ30" s="8">
        <v>0</v>
      </c>
      <c r="BA30" s="8">
        <v>0</v>
      </c>
      <c r="BB30" s="8">
        <v>0</v>
      </c>
      <c r="BC30" s="8">
        <v>0</v>
      </c>
      <c r="BD30" s="8">
        <v>0</v>
      </c>
      <c r="BE30" s="16">
        <v>0</v>
      </c>
      <c r="BF30" s="8">
        <v>0</v>
      </c>
      <c r="BG30" s="8">
        <v>0</v>
      </c>
      <c r="BH30" s="8">
        <v>0</v>
      </c>
      <c r="BI30" s="8">
        <v>0</v>
      </c>
      <c r="BJ30" s="8">
        <v>0</v>
      </c>
      <c r="BK30" s="8">
        <v>0</v>
      </c>
      <c r="BL30" s="16">
        <v>0</v>
      </c>
      <c r="BM30" s="8">
        <v>0</v>
      </c>
      <c r="BN30" s="8">
        <v>0</v>
      </c>
      <c r="BO30" s="8">
        <v>0</v>
      </c>
      <c r="BP30" s="8">
        <v>0</v>
      </c>
      <c r="BQ30" s="16">
        <v>0</v>
      </c>
      <c r="BR30" s="8">
        <v>0</v>
      </c>
      <c r="BS30" s="8">
        <v>0</v>
      </c>
      <c r="BT30" s="8">
        <v>0</v>
      </c>
      <c r="BU30" s="8">
        <v>0</v>
      </c>
      <c r="BV30" s="16">
        <v>0</v>
      </c>
      <c r="BW30" s="8">
        <v>0</v>
      </c>
      <c r="BX30" s="8">
        <v>0</v>
      </c>
      <c r="BY30" s="8">
        <v>0</v>
      </c>
      <c r="BZ30" s="8">
        <v>0</v>
      </c>
      <c r="CA30" s="16">
        <v>0</v>
      </c>
      <c r="CB30" s="8">
        <v>0</v>
      </c>
      <c r="CC30" s="8">
        <v>0</v>
      </c>
      <c r="CD30" s="8">
        <v>0</v>
      </c>
      <c r="CE30" s="8">
        <v>0</v>
      </c>
      <c r="CF30" s="16">
        <v>0</v>
      </c>
      <c r="CG30" s="8">
        <v>0</v>
      </c>
      <c r="CH30" s="8">
        <v>0</v>
      </c>
      <c r="CI30" s="8">
        <v>0</v>
      </c>
      <c r="CJ30" s="8">
        <v>0</v>
      </c>
      <c r="CK30" s="16">
        <v>0</v>
      </c>
      <c r="CL30" s="8">
        <v>0</v>
      </c>
      <c r="CM30" s="8">
        <v>0</v>
      </c>
      <c r="CN30" s="8">
        <v>0</v>
      </c>
      <c r="CO30" s="8">
        <v>0</v>
      </c>
      <c r="CP30" s="9">
        <v>0</v>
      </c>
      <c r="CQ30" s="8">
        <v>0</v>
      </c>
      <c r="CR30" s="8">
        <v>0</v>
      </c>
      <c r="CS30" s="8">
        <v>0</v>
      </c>
      <c r="CT30" s="8">
        <v>0</v>
      </c>
      <c r="CU30" s="8">
        <v>0</v>
      </c>
      <c r="CV30" s="8">
        <v>0</v>
      </c>
      <c r="CW30" s="8">
        <v>0</v>
      </c>
      <c r="CX30" s="8">
        <v>0</v>
      </c>
      <c r="CY30" s="8">
        <v>0</v>
      </c>
      <c r="CZ30" s="8">
        <v>0</v>
      </c>
      <c r="DA30" s="8">
        <v>0</v>
      </c>
      <c r="DB30" s="8">
        <f t="shared" si="121"/>
        <v>0</v>
      </c>
      <c r="DC30" s="8">
        <f t="shared" si="122"/>
        <v>0</v>
      </c>
    </row>
    <row r="31" spans="1:107" s="10" customFormat="1">
      <c r="C31" s="11"/>
      <c r="D31" s="11" t="s">
        <v>176</v>
      </c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2"/>
      <c r="P31" s="12"/>
      <c r="Q31" s="13"/>
      <c r="R31" s="13"/>
      <c r="S31" s="14"/>
      <c r="T31" s="14"/>
      <c r="U31" s="14">
        <f>1000*W31</f>
        <v>87000</v>
      </c>
      <c r="V31" s="14">
        <f>W31*1000</f>
        <v>87000</v>
      </c>
      <c r="W31" s="14">
        <v>87</v>
      </c>
      <c r="X31" s="14">
        <v>0</v>
      </c>
      <c r="Y31" s="14">
        <v>0</v>
      </c>
      <c r="Z31" s="14">
        <v>0</v>
      </c>
      <c r="AA31" s="14">
        <v>0</v>
      </c>
      <c r="AB31" s="14">
        <f>1000*AD31</f>
        <v>87000</v>
      </c>
      <c r="AC31" s="14">
        <f>AD31*1000</f>
        <v>87000</v>
      </c>
      <c r="AD31" s="14">
        <v>87</v>
      </c>
      <c r="AE31" s="14">
        <v>0</v>
      </c>
      <c r="AF31" s="14">
        <v>0</v>
      </c>
      <c r="AG31" s="14">
        <v>0</v>
      </c>
      <c r="AH31" s="8">
        <v>0</v>
      </c>
      <c r="AI31" s="14">
        <f>1000*AK31</f>
        <v>91000</v>
      </c>
      <c r="AJ31" s="14">
        <f>AK31*1000</f>
        <v>91000</v>
      </c>
      <c r="AK31" s="14">
        <v>91</v>
      </c>
      <c r="AL31" s="14">
        <v>0</v>
      </c>
      <c r="AM31" s="14">
        <v>0</v>
      </c>
      <c r="AN31" s="14">
        <v>0</v>
      </c>
      <c r="AO31" s="14">
        <v>0</v>
      </c>
      <c r="AP31" s="14">
        <f>1000*AR31</f>
        <v>91000</v>
      </c>
      <c r="AQ31" s="14">
        <f>AR31*1000</f>
        <v>91000</v>
      </c>
      <c r="AR31" s="14">
        <v>91</v>
      </c>
      <c r="AS31" s="14">
        <v>0</v>
      </c>
      <c r="AT31" s="14">
        <v>0</v>
      </c>
      <c r="AU31" s="14">
        <v>0</v>
      </c>
      <c r="AV31" s="14">
        <v>0</v>
      </c>
      <c r="AW31" s="14">
        <f>1000*AY31</f>
        <v>91000</v>
      </c>
      <c r="AX31" s="14">
        <f>AY31*1000</f>
        <v>91000</v>
      </c>
      <c r="AY31" s="14">
        <v>91</v>
      </c>
      <c r="AZ31" s="14">
        <v>0</v>
      </c>
      <c r="BA31" s="14">
        <v>0</v>
      </c>
      <c r="BB31" s="14">
        <v>0</v>
      </c>
      <c r="BC31" s="14">
        <v>0</v>
      </c>
      <c r="BD31" s="14">
        <f>1000*BF31</f>
        <v>91000</v>
      </c>
      <c r="BE31" s="14">
        <f>BF31*1000</f>
        <v>91000</v>
      </c>
      <c r="BF31" s="14">
        <v>91</v>
      </c>
      <c r="BG31" s="14">
        <v>0</v>
      </c>
      <c r="BH31" s="14">
        <v>0</v>
      </c>
      <c r="BI31" s="14">
        <v>0</v>
      </c>
      <c r="BJ31" s="8">
        <v>0</v>
      </c>
      <c r="BK31" s="14">
        <f>1000*BM31</f>
        <v>91000</v>
      </c>
      <c r="BL31" s="14">
        <f>BM31*1000</f>
        <v>91000</v>
      </c>
      <c r="BM31" s="14">
        <v>91</v>
      </c>
      <c r="BN31" s="14">
        <v>0</v>
      </c>
      <c r="BO31" s="14">
        <v>0</v>
      </c>
      <c r="BP31" s="14">
        <f>1000*BR31</f>
        <v>95000</v>
      </c>
      <c r="BQ31" s="14">
        <f>BR31*1000</f>
        <v>95000</v>
      </c>
      <c r="BR31" s="14">
        <v>95</v>
      </c>
      <c r="BS31" s="14">
        <v>0</v>
      </c>
      <c r="BT31" s="14">
        <v>0</v>
      </c>
      <c r="BU31" s="14">
        <f>1000*BW31</f>
        <v>95000</v>
      </c>
      <c r="BV31" s="14">
        <f>BW31*1000</f>
        <v>95000</v>
      </c>
      <c r="BW31" s="14">
        <v>95</v>
      </c>
      <c r="BX31" s="14">
        <v>0</v>
      </c>
      <c r="BY31" s="14">
        <v>0</v>
      </c>
      <c r="BZ31" s="14">
        <f>1000*CB31</f>
        <v>95000</v>
      </c>
      <c r="CA31" s="14">
        <f>CB31*1000</f>
        <v>95000</v>
      </c>
      <c r="CB31" s="14">
        <v>95</v>
      </c>
      <c r="CC31" s="14">
        <v>0</v>
      </c>
      <c r="CD31" s="14">
        <v>0</v>
      </c>
      <c r="CE31" s="14">
        <f>1000*CG31</f>
        <v>95000</v>
      </c>
      <c r="CF31" s="14">
        <f>CG31*1000</f>
        <v>95000</v>
      </c>
      <c r="CG31" s="14">
        <v>95</v>
      </c>
      <c r="CH31" s="14">
        <v>0</v>
      </c>
      <c r="CI31" s="14">
        <v>0</v>
      </c>
      <c r="CJ31" s="14">
        <f>1000*CL31</f>
        <v>95000</v>
      </c>
      <c r="CK31" s="14">
        <f>CL31*1000</f>
        <v>95000</v>
      </c>
      <c r="CL31" s="14">
        <v>95</v>
      </c>
      <c r="CM31" s="14">
        <v>0</v>
      </c>
      <c r="CN31" s="14">
        <v>0</v>
      </c>
      <c r="CO31" s="14">
        <v>0</v>
      </c>
      <c r="CP31" s="14">
        <f>1000*CR31</f>
        <v>92000</v>
      </c>
      <c r="CQ31" s="14">
        <f>CR31*1000</f>
        <v>92000</v>
      </c>
      <c r="CR31" s="14">
        <v>92</v>
      </c>
      <c r="CS31" s="14">
        <v>0</v>
      </c>
      <c r="CT31" s="14">
        <v>0</v>
      </c>
      <c r="CU31" s="14">
        <v>0</v>
      </c>
      <c r="CV31" s="14">
        <v>0</v>
      </c>
      <c r="CW31" s="14">
        <v>0</v>
      </c>
      <c r="CX31" s="14">
        <v>0</v>
      </c>
      <c r="CY31" s="14">
        <v>0</v>
      </c>
      <c r="CZ31" s="14">
        <v>0</v>
      </c>
      <c r="DA31" s="14">
        <v>0</v>
      </c>
      <c r="DB31" s="8">
        <f t="shared" si="121"/>
        <v>92000</v>
      </c>
      <c r="DC31" s="8">
        <f t="shared" si="122"/>
        <v>92000</v>
      </c>
    </row>
    <row r="32" spans="1:107" s="4" customFormat="1">
      <c r="C32" s="5"/>
      <c r="D32" s="5" t="s">
        <v>177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6"/>
      <c r="P32" s="6"/>
      <c r="Q32" s="7"/>
      <c r="R32" s="7"/>
      <c r="S32" s="8"/>
      <c r="T32" s="8"/>
      <c r="U32" s="8">
        <f>U31-U28</f>
        <v>9000</v>
      </c>
      <c r="V32" s="8">
        <f>V31-V28</f>
        <v>9000</v>
      </c>
      <c r="W32" s="8">
        <v>9</v>
      </c>
      <c r="X32" s="8">
        <v>0</v>
      </c>
      <c r="Y32" s="8">
        <v>0</v>
      </c>
      <c r="Z32" s="8">
        <v>0</v>
      </c>
      <c r="AA32" s="8">
        <v>0</v>
      </c>
      <c r="AB32" s="8">
        <f>AB31-AB28</f>
        <v>-6000</v>
      </c>
      <c r="AC32" s="8">
        <f>AC31-AC28</f>
        <v>-6000</v>
      </c>
      <c r="AD32" s="8">
        <v>-1</v>
      </c>
      <c r="AE32" s="8">
        <v>0</v>
      </c>
      <c r="AF32" s="8">
        <v>0</v>
      </c>
      <c r="AG32" s="8">
        <v>0</v>
      </c>
      <c r="AH32" s="8">
        <v>0</v>
      </c>
      <c r="AI32" s="8">
        <f>AI31-AI28</f>
        <v>-2000</v>
      </c>
      <c r="AJ32" s="8">
        <f>AJ31-AJ28</f>
        <v>-2000</v>
      </c>
      <c r="AK32" s="8">
        <v>3</v>
      </c>
      <c r="AL32" s="8">
        <v>0</v>
      </c>
      <c r="AM32" s="8">
        <v>0</v>
      </c>
      <c r="AN32" s="8">
        <v>0</v>
      </c>
      <c r="AO32" s="8">
        <v>0</v>
      </c>
      <c r="AP32" s="8">
        <f>AP31-AP28</f>
        <v>-8000</v>
      </c>
      <c r="AQ32" s="8">
        <f>AQ31-AQ28</f>
        <v>-8000</v>
      </c>
      <c r="AR32" s="8">
        <v>-3</v>
      </c>
      <c r="AS32" s="8">
        <v>0</v>
      </c>
      <c r="AT32" s="8">
        <v>0</v>
      </c>
      <c r="AU32" s="8">
        <v>0</v>
      </c>
      <c r="AV32" s="8">
        <v>0</v>
      </c>
      <c r="AW32" s="8">
        <f>AW31-AW28</f>
        <v>-8000</v>
      </c>
      <c r="AX32" s="8">
        <f>AX31-AX28</f>
        <v>-8000</v>
      </c>
      <c r="AY32" s="8">
        <v>-3</v>
      </c>
      <c r="AZ32" s="8">
        <v>0</v>
      </c>
      <c r="BA32" s="8">
        <v>0</v>
      </c>
      <c r="BB32" s="8">
        <v>0</v>
      </c>
      <c r="BC32" s="8">
        <v>0</v>
      </c>
      <c r="BD32" s="8">
        <f>BD31-BD28</f>
        <v>-12000</v>
      </c>
      <c r="BE32" s="8">
        <f>BE31-BE28</f>
        <v>-12000</v>
      </c>
      <c r="BF32" s="8">
        <v>-7</v>
      </c>
      <c r="BG32" s="8">
        <v>0</v>
      </c>
      <c r="BH32" s="8">
        <v>0</v>
      </c>
      <c r="BI32" s="8">
        <v>0</v>
      </c>
      <c r="BJ32" s="8">
        <v>0</v>
      </c>
      <c r="BK32" s="8">
        <f>BK31-BK28</f>
        <v>-12000</v>
      </c>
      <c r="BL32" s="8">
        <f>BL31-BL28</f>
        <v>-12000</v>
      </c>
      <c r="BM32" s="8">
        <v>-7</v>
      </c>
      <c r="BN32" s="8">
        <v>0</v>
      </c>
      <c r="BO32" s="8">
        <v>0</v>
      </c>
      <c r="BP32" s="8">
        <f>BP31-BP28</f>
        <v>-11000</v>
      </c>
      <c r="BQ32" s="8">
        <f>BQ31-BQ28</f>
        <v>-11000</v>
      </c>
      <c r="BR32" s="8">
        <v>-2</v>
      </c>
      <c r="BS32" s="8">
        <v>0</v>
      </c>
      <c r="BT32" s="8">
        <v>0</v>
      </c>
      <c r="BU32" s="8">
        <f>BU31-BU28</f>
        <v>-14440</v>
      </c>
      <c r="BV32" s="8">
        <f>BV31-BV28</f>
        <v>-11932</v>
      </c>
      <c r="BW32" s="8">
        <v>-10</v>
      </c>
      <c r="BX32" s="8">
        <v>0</v>
      </c>
      <c r="BY32" s="8">
        <v>0</v>
      </c>
      <c r="BZ32" s="8">
        <f>BZ31-BZ28</f>
        <v>-14440</v>
      </c>
      <c r="CA32" s="8">
        <f>CA31-CA28</f>
        <v>-11932</v>
      </c>
      <c r="CB32" s="8">
        <v>-10</v>
      </c>
      <c r="CC32" s="8">
        <v>0</v>
      </c>
      <c r="CD32" s="8">
        <v>0</v>
      </c>
      <c r="CE32" s="8">
        <f>CE31-CE28</f>
        <v>-14440</v>
      </c>
      <c r="CF32" s="8">
        <f>CF31-CF28</f>
        <v>-11932</v>
      </c>
      <c r="CG32" s="8">
        <v>-10</v>
      </c>
      <c r="CH32" s="8">
        <v>0</v>
      </c>
      <c r="CI32" s="8">
        <v>0</v>
      </c>
      <c r="CJ32" s="8">
        <f>CJ31-CJ28</f>
        <v>-14440</v>
      </c>
      <c r="CK32" s="8">
        <f>CK31-CK28</f>
        <v>-11932</v>
      </c>
      <c r="CL32" s="8">
        <v>-10</v>
      </c>
      <c r="CM32" s="8">
        <v>0</v>
      </c>
      <c r="CN32" s="8">
        <v>0</v>
      </c>
      <c r="CO32" s="8">
        <v>0</v>
      </c>
      <c r="CP32" s="8">
        <f>CP31-CP28</f>
        <v>-1119760</v>
      </c>
      <c r="CQ32" s="8">
        <f>CQ31-CQ28</f>
        <v>-1109728</v>
      </c>
      <c r="CR32" s="8">
        <v>-4.3</v>
      </c>
      <c r="CS32" s="8">
        <v>0</v>
      </c>
      <c r="CT32" s="8">
        <v>0</v>
      </c>
      <c r="CU32" s="8">
        <v>0</v>
      </c>
      <c r="CV32" s="8">
        <v>0</v>
      </c>
      <c r="CW32" s="8">
        <v>0</v>
      </c>
      <c r="CX32" s="8">
        <v>0</v>
      </c>
      <c r="CY32" s="8">
        <v>0</v>
      </c>
      <c r="CZ32" s="8">
        <v>0</v>
      </c>
      <c r="DA32" s="8">
        <v>0</v>
      </c>
      <c r="DB32" s="8">
        <f t="shared" si="121"/>
        <v>-1119760</v>
      </c>
      <c r="DC32" s="8">
        <f t="shared" si="122"/>
        <v>-1109728</v>
      </c>
    </row>
    <row r="33" spans="3:107" s="10" customFormat="1">
      <c r="C33" s="11"/>
      <c r="D33" s="11" t="s">
        <v>178</v>
      </c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2"/>
      <c r="P33" s="12"/>
      <c r="Q33" s="13"/>
      <c r="R33" s="13"/>
      <c r="S33" s="14"/>
      <c r="T33" s="14"/>
      <c r="U33" s="14">
        <f>U28</f>
        <v>78000</v>
      </c>
      <c r="V33" s="14">
        <f>V28</f>
        <v>78000</v>
      </c>
      <c r="W33" s="14">
        <v>0</v>
      </c>
      <c r="X33" s="14">
        <v>0</v>
      </c>
      <c r="Y33" s="14">
        <v>0</v>
      </c>
      <c r="Z33" s="14">
        <v>0</v>
      </c>
      <c r="AA33" s="14">
        <v>0</v>
      </c>
      <c r="AB33" s="14">
        <f>AB28</f>
        <v>93000</v>
      </c>
      <c r="AC33" s="14">
        <f>AC28</f>
        <v>93000</v>
      </c>
      <c r="AD33" s="14">
        <v>0</v>
      </c>
      <c r="AE33" s="14">
        <v>0</v>
      </c>
      <c r="AF33" s="14">
        <v>0</v>
      </c>
      <c r="AG33" s="14">
        <v>0</v>
      </c>
      <c r="AH33" s="8">
        <v>0</v>
      </c>
      <c r="AI33" s="14">
        <f>AI28</f>
        <v>93000</v>
      </c>
      <c r="AJ33" s="14">
        <f>AJ28</f>
        <v>93000</v>
      </c>
      <c r="AK33" s="14">
        <v>0</v>
      </c>
      <c r="AL33" s="14">
        <v>0</v>
      </c>
      <c r="AM33" s="14">
        <v>0</v>
      </c>
      <c r="AN33" s="14">
        <v>0</v>
      </c>
      <c r="AO33" s="14">
        <v>0</v>
      </c>
      <c r="AP33" s="14">
        <f>AP28</f>
        <v>99000</v>
      </c>
      <c r="AQ33" s="14">
        <f>AQ28</f>
        <v>99000</v>
      </c>
      <c r="AR33" s="14">
        <v>0</v>
      </c>
      <c r="AS33" s="14">
        <v>0</v>
      </c>
      <c r="AT33" s="14">
        <v>0</v>
      </c>
      <c r="AU33" s="14">
        <v>0</v>
      </c>
      <c r="AV33" s="14">
        <v>0</v>
      </c>
      <c r="AW33" s="14">
        <f>AW28</f>
        <v>99000</v>
      </c>
      <c r="AX33" s="14">
        <f>AX28</f>
        <v>99000</v>
      </c>
      <c r="AY33" s="14">
        <v>0</v>
      </c>
      <c r="AZ33" s="14">
        <v>0</v>
      </c>
      <c r="BA33" s="14">
        <v>0</v>
      </c>
      <c r="BB33" s="14">
        <v>0</v>
      </c>
      <c r="BC33" s="14">
        <v>0</v>
      </c>
      <c r="BD33" s="14">
        <f>BD28</f>
        <v>103000</v>
      </c>
      <c r="BE33" s="14">
        <f>BE28</f>
        <v>103000</v>
      </c>
      <c r="BF33" s="14">
        <v>0</v>
      </c>
      <c r="BG33" s="14">
        <v>0</v>
      </c>
      <c r="BH33" s="14">
        <v>0</v>
      </c>
      <c r="BI33" s="14">
        <v>0</v>
      </c>
      <c r="BJ33" s="8">
        <v>0</v>
      </c>
      <c r="BK33" s="14">
        <f>BK28</f>
        <v>103000</v>
      </c>
      <c r="BL33" s="14">
        <f>BL28</f>
        <v>103000</v>
      </c>
      <c r="BM33" s="14">
        <v>0</v>
      </c>
      <c r="BN33" s="14">
        <v>0</v>
      </c>
      <c r="BO33" s="14">
        <v>0</v>
      </c>
      <c r="BP33" s="14">
        <f>BP28</f>
        <v>106000</v>
      </c>
      <c r="BQ33" s="14">
        <f>BQ28</f>
        <v>106000</v>
      </c>
      <c r="BR33" s="14">
        <v>0</v>
      </c>
      <c r="BS33" s="14">
        <v>0</v>
      </c>
      <c r="BT33" s="14">
        <v>0</v>
      </c>
      <c r="BU33" s="14">
        <f>BU28</f>
        <v>109440</v>
      </c>
      <c r="BV33" s="14">
        <f>BV28</f>
        <v>106932</v>
      </c>
      <c r="BW33" s="14">
        <v>0</v>
      </c>
      <c r="BX33" s="14">
        <v>0</v>
      </c>
      <c r="BY33" s="14">
        <v>0</v>
      </c>
      <c r="BZ33" s="14">
        <f>BZ28</f>
        <v>109440</v>
      </c>
      <c r="CA33" s="14">
        <f>CA28</f>
        <v>106932</v>
      </c>
      <c r="CB33" s="14">
        <v>0</v>
      </c>
      <c r="CC33" s="14">
        <v>0</v>
      </c>
      <c r="CD33" s="14">
        <v>0</v>
      </c>
      <c r="CE33" s="14">
        <f>CE28</f>
        <v>109440</v>
      </c>
      <c r="CF33" s="14">
        <f>CF28</f>
        <v>106932</v>
      </c>
      <c r="CG33" s="14">
        <v>0</v>
      </c>
      <c r="CH33" s="14">
        <v>0</v>
      </c>
      <c r="CI33" s="14">
        <v>0</v>
      </c>
      <c r="CJ33" s="14">
        <f>CJ28</f>
        <v>109440</v>
      </c>
      <c r="CK33" s="14">
        <f>CK28</f>
        <v>106932</v>
      </c>
      <c r="CL33" s="14">
        <v>0</v>
      </c>
      <c r="CM33" s="14">
        <v>0</v>
      </c>
      <c r="CN33" s="14">
        <v>0</v>
      </c>
      <c r="CO33" s="14">
        <v>0</v>
      </c>
      <c r="CP33" s="14">
        <f>CP28</f>
        <v>1211760</v>
      </c>
      <c r="CQ33" s="14">
        <f>CQ28</f>
        <v>1201728</v>
      </c>
      <c r="CR33" s="14">
        <v>0</v>
      </c>
      <c r="CS33" s="14">
        <v>0</v>
      </c>
      <c r="CT33" s="14">
        <v>0</v>
      </c>
      <c r="CU33" s="14">
        <v>0</v>
      </c>
      <c r="CV33" s="14">
        <v>0</v>
      </c>
      <c r="CW33" s="14">
        <v>0</v>
      </c>
      <c r="CX33" s="14">
        <v>0</v>
      </c>
      <c r="CY33" s="14">
        <v>0</v>
      </c>
      <c r="CZ33" s="14">
        <v>0</v>
      </c>
      <c r="DA33" s="14">
        <v>0</v>
      </c>
      <c r="DB33" s="8">
        <f t="shared" si="121"/>
        <v>1211760</v>
      </c>
      <c r="DC33" s="8">
        <f t="shared" si="122"/>
        <v>1201728</v>
      </c>
    </row>
    <row r="34" spans="3:107" s="4" customFormat="1">
      <c r="C34" s="5"/>
      <c r="D34" s="5" t="s">
        <v>179</v>
      </c>
      <c r="E34" s="5"/>
      <c r="F34" s="5"/>
      <c r="G34" s="5"/>
      <c r="H34" s="5"/>
      <c r="I34" s="5"/>
      <c r="J34" s="5"/>
      <c r="K34" s="5"/>
      <c r="L34" s="5"/>
      <c r="M34" s="5"/>
      <c r="N34" s="5"/>
      <c r="O34" s="6"/>
      <c r="P34" s="6"/>
      <c r="Q34" s="7"/>
      <c r="R34" s="7"/>
      <c r="S34" s="8"/>
      <c r="T34" s="8"/>
      <c r="U34" s="8">
        <f>U31-U33</f>
        <v>9000</v>
      </c>
      <c r="V34" s="8">
        <f>V31-V33</f>
        <v>9000</v>
      </c>
      <c r="W34" s="8">
        <v>0</v>
      </c>
      <c r="X34" s="8">
        <v>0</v>
      </c>
      <c r="Y34" s="8">
        <v>0</v>
      </c>
      <c r="Z34" s="8">
        <v>0</v>
      </c>
      <c r="AA34" s="8">
        <v>0</v>
      </c>
      <c r="AB34" s="8">
        <f>AB31-AB33</f>
        <v>-6000</v>
      </c>
      <c r="AC34" s="8">
        <f>AC31-AC33</f>
        <v>-6000</v>
      </c>
      <c r="AD34" s="8">
        <v>0</v>
      </c>
      <c r="AE34" s="8">
        <v>0</v>
      </c>
      <c r="AF34" s="8">
        <v>0</v>
      </c>
      <c r="AG34" s="8">
        <v>0</v>
      </c>
      <c r="AH34" s="8">
        <v>0</v>
      </c>
      <c r="AI34" s="8">
        <f>AI31-AI33</f>
        <v>-2000</v>
      </c>
      <c r="AJ34" s="8">
        <f>AJ31-AJ33</f>
        <v>-2000</v>
      </c>
      <c r="AK34" s="8">
        <v>0</v>
      </c>
      <c r="AL34" s="8">
        <v>0</v>
      </c>
      <c r="AM34" s="8">
        <v>0</v>
      </c>
      <c r="AN34" s="8">
        <v>0</v>
      </c>
      <c r="AO34" s="8">
        <v>0</v>
      </c>
      <c r="AP34" s="8">
        <f>AP31-AP33</f>
        <v>-8000</v>
      </c>
      <c r="AQ34" s="8">
        <f>AQ31-AQ33</f>
        <v>-8000</v>
      </c>
      <c r="AR34" s="8">
        <v>0</v>
      </c>
      <c r="AS34" s="8">
        <v>0</v>
      </c>
      <c r="AT34" s="8">
        <v>0</v>
      </c>
      <c r="AU34" s="8">
        <v>0</v>
      </c>
      <c r="AV34" s="8">
        <v>0</v>
      </c>
      <c r="AW34" s="8">
        <f>AW31-AW33</f>
        <v>-8000</v>
      </c>
      <c r="AX34" s="8">
        <f>AX31-AX33</f>
        <v>-8000</v>
      </c>
      <c r="AY34" s="8">
        <v>0</v>
      </c>
      <c r="AZ34" s="8">
        <v>0</v>
      </c>
      <c r="BA34" s="8">
        <v>0</v>
      </c>
      <c r="BB34" s="8">
        <v>0</v>
      </c>
      <c r="BC34" s="8">
        <v>0</v>
      </c>
      <c r="BD34" s="8">
        <f>BD31-BD33</f>
        <v>-12000</v>
      </c>
      <c r="BE34" s="8">
        <f>BE31-BE33</f>
        <v>-12000</v>
      </c>
      <c r="BF34" s="8">
        <v>0</v>
      </c>
      <c r="BG34" s="8">
        <v>0</v>
      </c>
      <c r="BH34" s="8">
        <v>0</v>
      </c>
      <c r="BI34" s="8">
        <v>0</v>
      </c>
      <c r="BJ34" s="8">
        <v>0</v>
      </c>
      <c r="BK34" s="8">
        <f>BK31-BK33</f>
        <v>-12000</v>
      </c>
      <c r="BL34" s="8">
        <f>BL31-BL33</f>
        <v>-12000</v>
      </c>
      <c r="BM34" s="8">
        <v>0</v>
      </c>
      <c r="BN34" s="8">
        <v>0</v>
      </c>
      <c r="BO34" s="8">
        <v>0</v>
      </c>
      <c r="BP34" s="8">
        <f>BP31-BP33</f>
        <v>-11000</v>
      </c>
      <c r="BQ34" s="8">
        <f>BQ31-BQ33</f>
        <v>-11000</v>
      </c>
      <c r="BR34" s="8">
        <v>0</v>
      </c>
      <c r="BS34" s="8">
        <v>0</v>
      </c>
      <c r="BT34" s="8">
        <v>0</v>
      </c>
      <c r="BU34" s="8">
        <f>BU31-BU33</f>
        <v>-14440</v>
      </c>
      <c r="BV34" s="8">
        <f>BV31-BV33</f>
        <v>-11932</v>
      </c>
      <c r="BW34" s="8">
        <v>0</v>
      </c>
      <c r="BX34" s="8">
        <v>0</v>
      </c>
      <c r="BY34" s="8">
        <v>0</v>
      </c>
      <c r="BZ34" s="8">
        <f>BZ31-BZ33</f>
        <v>-14440</v>
      </c>
      <c r="CA34" s="8">
        <f>CA31-CA33</f>
        <v>-11932</v>
      </c>
      <c r="CB34" s="8">
        <v>0</v>
      </c>
      <c r="CC34" s="8">
        <v>0</v>
      </c>
      <c r="CD34" s="8">
        <v>0</v>
      </c>
      <c r="CE34" s="8">
        <f>CE31-CE33</f>
        <v>-14440</v>
      </c>
      <c r="CF34" s="8">
        <f>CF31-CF33</f>
        <v>-11932</v>
      </c>
      <c r="CG34" s="8">
        <v>0</v>
      </c>
      <c r="CH34" s="8">
        <v>0</v>
      </c>
      <c r="CI34" s="8">
        <v>0</v>
      </c>
      <c r="CJ34" s="8">
        <f>CJ31-CJ33</f>
        <v>-14440</v>
      </c>
      <c r="CK34" s="8">
        <f>CK31-CK33</f>
        <v>-11932</v>
      </c>
      <c r="CL34" s="8">
        <v>0</v>
      </c>
      <c r="CM34" s="8">
        <v>0</v>
      </c>
      <c r="CN34" s="8">
        <v>0</v>
      </c>
      <c r="CO34" s="8">
        <v>0</v>
      </c>
      <c r="CP34" s="8">
        <f>CP31-CP33</f>
        <v>-1119760</v>
      </c>
      <c r="CQ34" s="8">
        <f>CQ31-CQ33</f>
        <v>-1109728</v>
      </c>
      <c r="CR34" s="8">
        <v>0</v>
      </c>
      <c r="CS34" s="8">
        <v>0</v>
      </c>
      <c r="CT34" s="8">
        <v>0</v>
      </c>
      <c r="CU34" s="8">
        <v>0</v>
      </c>
      <c r="CV34" s="8">
        <v>0</v>
      </c>
      <c r="CW34" s="8">
        <v>0</v>
      </c>
      <c r="CX34" s="8">
        <v>0</v>
      </c>
      <c r="CY34" s="8">
        <v>0</v>
      </c>
      <c r="CZ34" s="8">
        <v>0</v>
      </c>
      <c r="DA34" s="8">
        <v>0</v>
      </c>
      <c r="DB34" s="8">
        <f t="shared" si="121"/>
        <v>-1119760</v>
      </c>
      <c r="DC34" s="8">
        <f t="shared" si="122"/>
        <v>-1109728</v>
      </c>
    </row>
    <row r="35" spans="3:107" s="10" customFormat="1">
      <c r="C35" s="11"/>
      <c r="D35" s="18" t="s">
        <v>180</v>
      </c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2"/>
      <c r="P35" s="12"/>
      <c r="Q35" s="13"/>
      <c r="R35" s="13"/>
      <c r="S35" s="14"/>
      <c r="T35" s="14"/>
      <c r="U35" s="14"/>
      <c r="V35" s="17"/>
      <c r="W35" s="14"/>
      <c r="X35" s="14"/>
      <c r="Y35" s="14"/>
      <c r="Z35" s="14"/>
      <c r="AA35" s="14"/>
      <c r="AB35" s="14"/>
      <c r="AC35" s="17"/>
      <c r="AD35" s="14"/>
      <c r="AE35" s="14"/>
      <c r="AF35" s="14"/>
      <c r="AG35" s="14"/>
      <c r="AH35" s="14"/>
      <c r="AI35" s="14"/>
      <c r="AJ35" s="17"/>
      <c r="AK35" s="14"/>
      <c r="AL35" s="14"/>
      <c r="AM35" s="14"/>
      <c r="AN35" s="14"/>
      <c r="AO35" s="14"/>
      <c r="AP35" s="14"/>
      <c r="AQ35" s="17"/>
      <c r="AR35" s="14"/>
      <c r="AS35" s="14"/>
      <c r="AT35" s="14"/>
      <c r="AU35" s="14"/>
      <c r="AV35" s="14"/>
      <c r="AW35" s="14"/>
      <c r="AX35" s="17"/>
      <c r="AY35" s="14"/>
      <c r="AZ35" s="14"/>
      <c r="BA35" s="14"/>
      <c r="BB35" s="14"/>
      <c r="BC35" s="14"/>
      <c r="BD35" s="14"/>
      <c r="BE35" s="17"/>
      <c r="BF35" s="14"/>
      <c r="BG35" s="14"/>
      <c r="BH35" s="14"/>
      <c r="BI35" s="14"/>
      <c r="BJ35" s="14"/>
      <c r="BK35" s="14"/>
      <c r="BL35" s="17"/>
      <c r="BM35" s="14"/>
      <c r="BN35" s="14"/>
      <c r="BO35" s="14"/>
      <c r="BP35" s="14">
        <v>100</v>
      </c>
      <c r="BQ35" s="17">
        <v>100</v>
      </c>
      <c r="BR35" s="14"/>
      <c r="BS35" s="14"/>
      <c r="BT35" s="14"/>
      <c r="BU35" s="14">
        <v>96</v>
      </c>
      <c r="BV35" s="17">
        <v>93.8</v>
      </c>
      <c r="BW35" s="14"/>
      <c r="BX35" s="14"/>
      <c r="BY35" s="14"/>
      <c r="BZ35" s="14">
        <v>96</v>
      </c>
      <c r="CA35" s="17">
        <v>93.8</v>
      </c>
      <c r="CB35" s="14"/>
      <c r="CC35" s="14"/>
      <c r="CD35" s="14"/>
      <c r="CE35" s="14">
        <v>96</v>
      </c>
      <c r="CF35" s="17">
        <v>93.8</v>
      </c>
      <c r="CG35" s="14"/>
      <c r="CH35" s="14"/>
      <c r="CI35" s="14"/>
      <c r="CJ35" s="14">
        <v>96</v>
      </c>
      <c r="CK35" s="17">
        <v>93.8</v>
      </c>
      <c r="CL35" s="14"/>
      <c r="CM35" s="14"/>
      <c r="CN35" s="14"/>
      <c r="CO35" s="14"/>
      <c r="CP35" s="15"/>
      <c r="CQ35" s="14"/>
      <c r="CR35" s="14"/>
      <c r="CS35" s="14"/>
      <c r="CT35" s="14"/>
      <c r="CU35" s="14"/>
      <c r="CV35" s="14"/>
      <c r="CW35" s="14"/>
      <c r="CX35" s="14"/>
      <c r="CY35" s="14"/>
      <c r="CZ35" s="14"/>
      <c r="DA35" s="14"/>
      <c r="DB35" s="14"/>
      <c r="DC35" s="17"/>
    </row>
    <row r="36" spans="3:107" s="4" customFormat="1">
      <c r="C36" s="5"/>
      <c r="D36" s="18" t="s">
        <v>181</v>
      </c>
      <c r="E36" s="5"/>
      <c r="F36" s="5"/>
      <c r="G36" s="5"/>
      <c r="H36" s="5"/>
      <c r="I36" s="5"/>
      <c r="J36" s="5"/>
      <c r="K36" s="5"/>
      <c r="L36" s="5"/>
      <c r="M36" s="5"/>
      <c r="N36" s="5"/>
      <c r="O36" s="6"/>
      <c r="P36" s="6"/>
      <c r="Q36" s="7"/>
      <c r="R36" s="7"/>
      <c r="S36" s="8"/>
      <c r="T36" s="8"/>
      <c r="U36" s="8"/>
      <c r="V36" s="16"/>
      <c r="W36" s="8"/>
      <c r="X36" s="8"/>
      <c r="Y36" s="8"/>
      <c r="Z36" s="8"/>
      <c r="AA36" s="8"/>
      <c r="AB36" s="8"/>
      <c r="AC36" s="16"/>
      <c r="AD36" s="8"/>
      <c r="AE36" s="8"/>
      <c r="AF36" s="8"/>
      <c r="AG36" s="8"/>
      <c r="AH36" s="8"/>
      <c r="AI36" s="8"/>
      <c r="AJ36" s="16"/>
      <c r="AK36" s="8"/>
      <c r="AL36" s="8"/>
      <c r="AM36" s="8"/>
      <c r="AN36" s="8"/>
      <c r="AO36" s="8"/>
      <c r="AP36" s="8"/>
      <c r="AQ36" s="16"/>
      <c r="AR36" s="8"/>
      <c r="AS36" s="8"/>
      <c r="AT36" s="8"/>
      <c r="AU36" s="8"/>
      <c r="AV36" s="8"/>
      <c r="AW36" s="8"/>
      <c r="AX36" s="16"/>
      <c r="AY36" s="8"/>
      <c r="AZ36" s="8"/>
      <c r="BA36" s="8"/>
      <c r="BB36" s="8"/>
      <c r="BC36" s="8"/>
      <c r="BD36" s="8"/>
      <c r="BE36" s="16"/>
      <c r="BF36" s="8"/>
      <c r="BG36" s="8"/>
      <c r="BH36" s="8"/>
      <c r="BI36" s="8"/>
      <c r="BJ36" s="8"/>
      <c r="BK36" s="8"/>
      <c r="BL36" s="16"/>
      <c r="BM36" s="8"/>
      <c r="BN36" s="8"/>
      <c r="BO36" s="8"/>
      <c r="BP36" s="8">
        <v>100</v>
      </c>
      <c r="BQ36" s="16">
        <v>100</v>
      </c>
      <c r="BR36" s="8"/>
      <c r="BS36" s="8"/>
      <c r="BT36" s="8"/>
      <c r="BU36" s="8">
        <v>100</v>
      </c>
      <c r="BV36" s="16">
        <v>100</v>
      </c>
      <c r="BW36" s="8"/>
      <c r="BX36" s="8"/>
      <c r="BY36" s="8"/>
      <c r="BZ36" s="8">
        <v>100</v>
      </c>
      <c r="CA36" s="16">
        <v>100</v>
      </c>
      <c r="CB36" s="8"/>
      <c r="CC36" s="8"/>
      <c r="CD36" s="8"/>
      <c r="CE36" s="8">
        <v>100</v>
      </c>
      <c r="CF36" s="16">
        <v>100</v>
      </c>
      <c r="CG36" s="8"/>
      <c r="CH36" s="8"/>
      <c r="CI36" s="8"/>
      <c r="CJ36" s="8">
        <v>100</v>
      </c>
      <c r="CK36" s="16">
        <v>100</v>
      </c>
      <c r="CL36" s="8"/>
      <c r="CM36" s="8"/>
      <c r="CN36" s="8"/>
      <c r="CO36" s="8"/>
      <c r="CP36" s="9"/>
      <c r="CQ36" s="8"/>
      <c r="CR36" s="8"/>
      <c r="CS36" s="8"/>
      <c r="CT36" s="8"/>
      <c r="CU36" s="8"/>
      <c r="CV36" s="8"/>
      <c r="CW36" s="8"/>
      <c r="CX36" s="8"/>
      <c r="CY36" s="8"/>
      <c r="CZ36" s="8"/>
      <c r="DA36" s="8"/>
      <c r="DB36" s="8"/>
      <c r="DC36" s="16"/>
    </row>
    <row r="37" spans="3:107" s="10" customFormat="1">
      <c r="C37" s="11"/>
      <c r="D37" s="11" t="s">
        <v>182</v>
      </c>
      <c r="E37" s="11"/>
      <c r="F37" s="11"/>
      <c r="G37" s="11" t="s">
        <v>183</v>
      </c>
      <c r="H37" s="11"/>
      <c r="I37" s="11"/>
      <c r="J37" s="11"/>
      <c r="K37" s="11"/>
      <c r="L37" s="11"/>
      <c r="M37" s="11"/>
      <c r="N37" s="11"/>
      <c r="O37" s="12"/>
      <c r="P37" s="12"/>
      <c r="Q37" s="13"/>
      <c r="R37" s="13"/>
      <c r="S37" s="14"/>
      <c r="T37" s="14"/>
      <c r="U37" s="14"/>
      <c r="V37" s="17"/>
      <c r="W37" s="14"/>
      <c r="X37" s="14"/>
      <c r="Y37" s="14"/>
      <c r="Z37" s="14"/>
      <c r="AA37" s="14"/>
      <c r="AB37" s="14"/>
      <c r="AC37" s="17"/>
      <c r="AD37" s="14"/>
      <c r="AE37" s="14"/>
      <c r="AF37" s="14"/>
      <c r="AG37" s="14"/>
      <c r="AH37" s="14"/>
      <c r="AI37" s="14"/>
      <c r="AJ37" s="17"/>
      <c r="AK37" s="14"/>
      <c r="AL37" s="14"/>
      <c r="AM37" s="14"/>
      <c r="AN37" s="14"/>
      <c r="AO37" s="14"/>
      <c r="AP37" s="14"/>
      <c r="AQ37" s="17"/>
      <c r="AR37" s="14"/>
      <c r="AS37" s="14"/>
      <c r="AT37" s="14"/>
      <c r="AU37" s="14"/>
      <c r="AV37" s="14"/>
      <c r="AW37" s="14"/>
      <c r="AX37" s="17"/>
      <c r="AY37" s="14"/>
      <c r="AZ37" s="14"/>
      <c r="BA37" s="14"/>
      <c r="BB37" s="14"/>
      <c r="BC37" s="14"/>
      <c r="BD37" s="14"/>
      <c r="BE37" s="17"/>
      <c r="BF37" s="14"/>
      <c r="BG37" s="14"/>
      <c r="BH37" s="14"/>
      <c r="BI37" s="14"/>
      <c r="BJ37" s="14"/>
      <c r="BK37" s="14"/>
      <c r="BL37" s="17"/>
      <c r="BM37" s="14"/>
      <c r="BN37" s="14"/>
      <c r="BO37" s="14"/>
      <c r="BP37" s="14"/>
      <c r="BQ37" s="17"/>
      <c r="BR37" s="14"/>
      <c r="BS37" s="14"/>
      <c r="BT37" s="14"/>
      <c r="BU37" s="14"/>
      <c r="BV37" s="17"/>
      <c r="BW37" s="14"/>
      <c r="BX37" s="14"/>
      <c r="BY37" s="14"/>
      <c r="BZ37" s="14"/>
      <c r="CA37" s="17"/>
      <c r="CB37" s="14"/>
      <c r="CC37" s="14"/>
      <c r="CD37" s="14"/>
      <c r="CE37" s="14"/>
      <c r="CF37" s="17"/>
      <c r="CG37" s="14"/>
      <c r="CH37" s="14"/>
      <c r="CI37" s="14"/>
      <c r="CJ37" s="14"/>
      <c r="CK37" s="17"/>
      <c r="CL37" s="14"/>
      <c r="CM37" s="14"/>
      <c r="CN37" s="14"/>
      <c r="CO37" s="14"/>
      <c r="CP37" s="15"/>
      <c r="CQ37" s="14"/>
      <c r="CR37" s="14"/>
      <c r="CS37" s="14"/>
      <c r="CT37" s="14"/>
      <c r="CU37" s="14"/>
      <c r="CV37" s="14"/>
      <c r="CW37" s="14"/>
      <c r="CX37" s="14"/>
      <c r="CY37" s="14"/>
      <c r="CZ37" s="14"/>
      <c r="DA37" s="14"/>
      <c r="DB37" s="14"/>
      <c r="DC37" s="17"/>
    </row>
    <row r="38" spans="3:107" s="4" customFormat="1">
      <c r="C38" s="5"/>
      <c r="D38" s="5" t="s">
        <v>184</v>
      </c>
      <c r="E38" s="5"/>
      <c r="F38" s="5"/>
      <c r="G38" s="5" t="s">
        <v>185</v>
      </c>
      <c r="H38" s="5"/>
      <c r="I38" s="5"/>
      <c r="J38" s="5"/>
      <c r="K38" s="5"/>
      <c r="L38" s="5"/>
      <c r="M38" s="5"/>
      <c r="N38" s="5"/>
      <c r="O38" s="6"/>
      <c r="P38" s="6"/>
      <c r="Q38" s="7"/>
      <c r="R38" s="7"/>
      <c r="S38" s="8"/>
      <c r="T38" s="8"/>
      <c r="U38" s="8"/>
      <c r="V38" s="16"/>
      <c r="W38" s="8"/>
      <c r="X38" s="8"/>
      <c r="Y38" s="8"/>
      <c r="Z38" s="8"/>
      <c r="AA38" s="8"/>
      <c r="AB38" s="8"/>
      <c r="AC38" s="16"/>
      <c r="AD38" s="8"/>
      <c r="AE38" s="8"/>
      <c r="AF38" s="8"/>
      <c r="AG38" s="8"/>
      <c r="AH38" s="8"/>
      <c r="AI38" s="8"/>
      <c r="AJ38" s="16"/>
      <c r="AK38" s="8"/>
      <c r="AL38" s="8"/>
      <c r="AM38" s="8"/>
      <c r="AN38" s="8"/>
      <c r="AO38" s="8"/>
      <c r="AP38" s="8"/>
      <c r="AQ38" s="16"/>
      <c r="AR38" s="8"/>
      <c r="AS38" s="8"/>
      <c r="AT38" s="8"/>
      <c r="AU38" s="8"/>
      <c r="AV38" s="8"/>
      <c r="AW38" s="8"/>
      <c r="AX38" s="16"/>
      <c r="AY38" s="8"/>
      <c r="AZ38" s="8"/>
      <c r="BA38" s="8"/>
      <c r="BB38" s="8"/>
      <c r="BC38" s="8"/>
      <c r="BD38" s="8"/>
      <c r="BE38" s="16"/>
      <c r="BF38" s="8"/>
      <c r="BG38" s="8"/>
      <c r="BH38" s="8"/>
      <c r="BI38" s="8"/>
      <c r="BJ38" s="8"/>
      <c r="BK38" s="8"/>
      <c r="BL38" s="16"/>
      <c r="BM38" s="8"/>
      <c r="BN38" s="8"/>
      <c r="BO38" s="8"/>
      <c r="BP38" s="8"/>
      <c r="BQ38" s="16"/>
      <c r="BR38" s="8"/>
      <c r="BS38" s="8"/>
      <c r="BT38" s="8"/>
      <c r="BU38" s="8"/>
      <c r="BV38" s="16"/>
      <c r="BW38" s="8"/>
      <c r="BX38" s="8"/>
      <c r="BY38" s="8"/>
      <c r="BZ38" s="8"/>
      <c r="CA38" s="16"/>
      <c r="CB38" s="8"/>
      <c r="CC38" s="8"/>
      <c r="CD38" s="8"/>
      <c r="CE38" s="8"/>
      <c r="CF38" s="16"/>
      <c r="CG38" s="8"/>
      <c r="CH38" s="8"/>
      <c r="CI38" s="8"/>
      <c r="CJ38" s="8"/>
      <c r="CK38" s="16"/>
      <c r="CL38" s="8"/>
      <c r="CM38" s="8"/>
      <c r="CN38" s="8"/>
      <c r="CO38" s="8"/>
      <c r="CP38" s="9"/>
      <c r="CQ38" s="8"/>
      <c r="CR38" s="8"/>
      <c r="CS38" s="8"/>
      <c r="CT38" s="8"/>
      <c r="CU38" s="8"/>
      <c r="CV38" s="8"/>
      <c r="CW38" s="8"/>
      <c r="CX38" s="8"/>
      <c r="CY38" s="8"/>
      <c r="CZ38" s="8"/>
      <c r="DA38" s="8"/>
      <c r="DB38" s="8"/>
      <c r="DC38" s="16"/>
    </row>
    <row r="39" spans="3:107" s="10" customFormat="1">
      <c r="C39" s="11"/>
      <c r="D39" s="11" t="s">
        <v>186</v>
      </c>
      <c r="E39" s="11"/>
      <c r="F39" s="11"/>
      <c r="G39" s="11" t="s">
        <v>187</v>
      </c>
      <c r="H39" s="11"/>
      <c r="I39" s="11"/>
      <c r="J39" s="11"/>
      <c r="K39" s="11"/>
      <c r="L39" s="11"/>
      <c r="M39" s="11"/>
      <c r="N39" s="11"/>
      <c r="O39" s="12"/>
      <c r="P39" s="12"/>
      <c r="Q39" s="13"/>
      <c r="R39" s="13"/>
      <c r="S39" s="14"/>
      <c r="T39" s="14"/>
      <c r="U39" s="14"/>
      <c r="V39" s="17"/>
      <c r="W39" s="14"/>
      <c r="X39" s="14"/>
      <c r="Y39" s="14"/>
      <c r="Z39" s="14"/>
      <c r="AA39" s="14"/>
      <c r="AB39" s="14"/>
      <c r="AC39" s="17"/>
      <c r="AD39" s="14"/>
      <c r="AE39" s="14"/>
      <c r="AF39" s="14"/>
      <c r="AG39" s="14"/>
      <c r="AH39" s="14"/>
      <c r="AI39" s="14"/>
      <c r="AJ39" s="17"/>
      <c r="AK39" s="14"/>
      <c r="AL39" s="14"/>
      <c r="AM39" s="14"/>
      <c r="AN39" s="14"/>
      <c r="AO39" s="14"/>
      <c r="AP39" s="14"/>
      <c r="AQ39" s="17"/>
      <c r="AR39" s="14"/>
      <c r="AS39" s="14"/>
      <c r="AT39" s="14"/>
      <c r="AU39" s="14"/>
      <c r="AV39" s="14"/>
      <c r="AW39" s="14"/>
      <c r="AX39" s="17"/>
      <c r="AY39" s="14"/>
      <c r="AZ39" s="14"/>
      <c r="BA39" s="14"/>
      <c r="BB39" s="14"/>
      <c r="BC39" s="14"/>
      <c r="BD39" s="14"/>
      <c r="BE39" s="17"/>
      <c r="BF39" s="14"/>
      <c r="BG39" s="14"/>
      <c r="BH39" s="14"/>
      <c r="BI39" s="14"/>
      <c r="BJ39" s="14"/>
      <c r="BK39" s="14"/>
      <c r="BL39" s="17"/>
      <c r="BM39" s="14"/>
      <c r="BN39" s="14"/>
      <c r="BO39" s="14"/>
      <c r="BP39" s="14"/>
      <c r="BQ39" s="17"/>
      <c r="BR39" s="14"/>
      <c r="BS39" s="14"/>
      <c r="BT39" s="14"/>
      <c r="BU39" s="14"/>
      <c r="BV39" s="17"/>
      <c r="BW39" s="14"/>
      <c r="BX39" s="14"/>
      <c r="BY39" s="14"/>
      <c r="BZ39" s="14"/>
      <c r="CA39" s="17"/>
      <c r="CB39" s="14"/>
      <c r="CC39" s="14"/>
      <c r="CD39" s="14"/>
      <c r="CE39" s="14"/>
      <c r="CF39" s="17"/>
      <c r="CG39" s="14"/>
      <c r="CH39" s="14"/>
      <c r="CI39" s="14"/>
      <c r="CJ39" s="14"/>
      <c r="CK39" s="17"/>
      <c r="CL39" s="14"/>
      <c r="CM39" s="14"/>
      <c r="CN39" s="14"/>
      <c r="CO39" s="14"/>
      <c r="CP39" s="15"/>
      <c r="CQ39" s="14"/>
      <c r="CR39" s="14"/>
      <c r="CS39" s="14"/>
      <c r="CT39" s="14"/>
      <c r="CU39" s="14"/>
      <c r="CV39" s="14"/>
      <c r="CW39" s="14"/>
      <c r="CX39" s="14"/>
      <c r="CY39" s="14"/>
      <c r="CZ39" s="14"/>
      <c r="DA39" s="14"/>
      <c r="DB39" s="14"/>
      <c r="DC39" s="17"/>
    </row>
    <row r="40" spans="3:107" s="4" customFormat="1">
      <c r="C40" s="5"/>
      <c r="D40" s="5" t="s">
        <v>188</v>
      </c>
      <c r="E40" s="5"/>
      <c r="F40" s="5"/>
      <c r="G40" s="5" t="s">
        <v>185</v>
      </c>
      <c r="H40" s="5"/>
      <c r="I40" s="5"/>
      <c r="J40" s="5"/>
      <c r="K40" s="5"/>
      <c r="L40" s="5"/>
      <c r="M40" s="5"/>
      <c r="N40" s="5"/>
      <c r="O40" s="6"/>
      <c r="P40" s="6"/>
      <c r="Q40" s="7"/>
      <c r="R40" s="7"/>
      <c r="S40" s="8"/>
      <c r="T40" s="8"/>
      <c r="U40" s="8"/>
      <c r="V40" s="16"/>
      <c r="W40" s="8"/>
      <c r="X40" s="8"/>
      <c r="Y40" s="8"/>
      <c r="Z40" s="8"/>
      <c r="AA40" s="8"/>
      <c r="AB40" s="8"/>
      <c r="AC40" s="16"/>
      <c r="AD40" s="8"/>
      <c r="AE40" s="8"/>
      <c r="AF40" s="8"/>
      <c r="AG40" s="8"/>
      <c r="AH40" s="8"/>
      <c r="AI40" s="8"/>
      <c r="AJ40" s="16"/>
      <c r="AK40" s="8"/>
      <c r="AL40" s="8"/>
      <c r="AM40" s="8"/>
      <c r="AN40" s="8"/>
      <c r="AO40" s="8"/>
      <c r="AP40" s="8"/>
      <c r="AQ40" s="16"/>
      <c r="AR40" s="8"/>
      <c r="AS40" s="8"/>
      <c r="AT40" s="8"/>
      <c r="AU40" s="8"/>
      <c r="AV40" s="8"/>
      <c r="AW40" s="8"/>
      <c r="AX40" s="16"/>
      <c r="AY40" s="8"/>
      <c r="AZ40" s="8"/>
      <c r="BA40" s="8"/>
      <c r="BB40" s="8"/>
      <c r="BC40" s="8"/>
      <c r="BD40" s="8"/>
      <c r="BE40" s="16"/>
      <c r="BF40" s="8"/>
      <c r="BG40" s="8"/>
      <c r="BH40" s="8"/>
      <c r="BI40" s="8"/>
      <c r="BJ40" s="8"/>
      <c r="BK40" s="8"/>
      <c r="BL40" s="16"/>
      <c r="BM40" s="8"/>
      <c r="BN40" s="8"/>
      <c r="BO40" s="8"/>
      <c r="BP40" s="8"/>
      <c r="BQ40" s="16"/>
      <c r="BR40" s="8"/>
      <c r="BS40" s="8"/>
      <c r="BT40" s="8"/>
      <c r="BU40" s="8"/>
      <c r="BV40" s="16"/>
      <c r="BW40" s="8"/>
      <c r="BX40" s="8"/>
      <c r="BY40" s="8"/>
      <c r="BZ40" s="8"/>
      <c r="CA40" s="16"/>
      <c r="CB40" s="8"/>
      <c r="CC40" s="8"/>
      <c r="CD40" s="8"/>
      <c r="CE40" s="8"/>
      <c r="CF40" s="16"/>
      <c r="CG40" s="8"/>
      <c r="CH40" s="8"/>
      <c r="CI40" s="8"/>
      <c r="CJ40" s="8"/>
      <c r="CK40" s="16"/>
      <c r="CL40" s="8"/>
      <c r="CM40" s="8"/>
      <c r="CN40" s="8"/>
      <c r="CO40" s="8"/>
      <c r="CP40" s="9"/>
      <c r="CQ40" s="8"/>
      <c r="CR40" s="8"/>
      <c r="CS40" s="8"/>
      <c r="CT40" s="8"/>
      <c r="CU40" s="8"/>
      <c r="CV40" s="8"/>
      <c r="CW40" s="8"/>
      <c r="CX40" s="8"/>
      <c r="CY40" s="8"/>
      <c r="CZ40" s="8"/>
      <c r="DA40" s="8"/>
      <c r="DB40" s="8"/>
      <c r="DC40" s="16"/>
    </row>
    <row r="41" spans="3:107" s="10" customFormat="1">
      <c r="C41" s="11"/>
      <c r="D41" s="11" t="s">
        <v>189</v>
      </c>
      <c r="E41" s="11"/>
      <c r="F41" s="11"/>
      <c r="G41" s="11" t="s">
        <v>190</v>
      </c>
      <c r="H41" s="11"/>
      <c r="I41" s="11"/>
      <c r="J41" s="11"/>
      <c r="K41" s="11"/>
      <c r="L41" s="11"/>
      <c r="M41" s="11"/>
      <c r="N41" s="11"/>
      <c r="O41" s="12"/>
      <c r="P41" s="12"/>
      <c r="Q41" s="13"/>
      <c r="R41" s="13"/>
      <c r="S41" s="14"/>
      <c r="T41" s="14"/>
      <c r="U41" s="14"/>
      <c r="V41" s="17"/>
      <c r="W41" s="14"/>
      <c r="X41" s="14"/>
      <c r="Y41" s="14"/>
      <c r="Z41" s="14"/>
      <c r="AA41" s="14"/>
      <c r="AB41" s="14"/>
      <c r="AC41" s="17"/>
      <c r="AD41" s="14"/>
      <c r="AE41" s="14"/>
      <c r="AF41" s="14"/>
      <c r="AG41" s="14"/>
      <c r="AH41" s="14"/>
      <c r="AI41" s="14"/>
      <c r="AJ41" s="17"/>
      <c r="AK41" s="14"/>
      <c r="AL41" s="14"/>
      <c r="AM41" s="14"/>
      <c r="AN41" s="14"/>
      <c r="AO41" s="14"/>
      <c r="AP41" s="14"/>
      <c r="AQ41" s="17"/>
      <c r="AR41" s="14"/>
      <c r="AS41" s="14"/>
      <c r="AT41" s="14"/>
      <c r="AU41" s="14"/>
      <c r="AV41" s="14"/>
      <c r="AW41" s="14"/>
      <c r="AX41" s="17"/>
      <c r="AY41" s="14"/>
      <c r="AZ41" s="14"/>
      <c r="BA41" s="14"/>
      <c r="BB41" s="14"/>
      <c r="BC41" s="14"/>
      <c r="BD41" s="14"/>
      <c r="BE41" s="17"/>
      <c r="BF41" s="14"/>
      <c r="BG41" s="14"/>
      <c r="BH41" s="14"/>
      <c r="BI41" s="14"/>
      <c r="BJ41" s="14"/>
      <c r="BK41" s="14"/>
      <c r="BL41" s="17"/>
      <c r="BM41" s="14"/>
      <c r="BN41" s="14"/>
      <c r="BO41" s="14"/>
      <c r="BP41" s="14"/>
      <c r="BQ41" s="17"/>
      <c r="BR41" s="14"/>
      <c r="BS41" s="14"/>
      <c r="BT41" s="14"/>
      <c r="BU41" s="14"/>
      <c r="BV41" s="17"/>
      <c r="BW41" s="14"/>
      <c r="BX41" s="14"/>
      <c r="BY41" s="14"/>
      <c r="BZ41" s="14"/>
      <c r="CA41" s="17"/>
      <c r="CB41" s="14"/>
      <c r="CC41" s="14"/>
      <c r="CD41" s="14"/>
      <c r="CE41" s="14"/>
      <c r="CF41" s="17"/>
      <c r="CG41" s="14"/>
      <c r="CH41" s="14"/>
      <c r="CI41" s="14"/>
      <c r="CJ41" s="14"/>
      <c r="CK41" s="17"/>
      <c r="CL41" s="14"/>
      <c r="CM41" s="14"/>
      <c r="CN41" s="14"/>
      <c r="CO41" s="14"/>
      <c r="CP41" s="15"/>
      <c r="CQ41" s="14"/>
      <c r="CR41" s="14"/>
      <c r="CS41" s="14"/>
      <c r="CT41" s="14"/>
      <c r="CU41" s="14"/>
      <c r="CV41" s="14"/>
      <c r="CW41" s="14"/>
      <c r="CX41" s="14"/>
      <c r="CY41" s="14"/>
      <c r="CZ41" s="14"/>
      <c r="DA41" s="14"/>
      <c r="DB41" s="14"/>
      <c r="DC41" s="17"/>
    </row>
    <row r="42" spans="3:107" s="4" customFormat="1">
      <c r="C42" s="5"/>
      <c r="D42" s="5" t="s">
        <v>191</v>
      </c>
      <c r="E42" s="5"/>
      <c r="F42" s="5"/>
      <c r="G42" s="5" t="s">
        <v>193</v>
      </c>
      <c r="H42" s="5" t="s">
        <v>194</v>
      </c>
      <c r="I42" s="5"/>
      <c r="J42" s="5"/>
      <c r="K42" s="5"/>
      <c r="L42" s="5"/>
      <c r="M42" s="5"/>
      <c r="N42" s="5"/>
      <c r="O42" s="6"/>
      <c r="P42" s="6"/>
      <c r="Q42" s="7"/>
      <c r="R42" s="7"/>
      <c r="S42" s="8"/>
      <c r="T42" s="8"/>
      <c r="U42" s="8"/>
      <c r="V42" s="16"/>
      <c r="W42" s="8"/>
      <c r="X42" s="8"/>
      <c r="Y42" s="8"/>
      <c r="Z42" s="8"/>
      <c r="AA42" s="8"/>
      <c r="AB42" s="8"/>
      <c r="AC42" s="16"/>
      <c r="AD42" s="8"/>
      <c r="AE42" s="8"/>
      <c r="AF42" s="8"/>
      <c r="AG42" s="8"/>
      <c r="AH42" s="8"/>
      <c r="AI42" s="8"/>
      <c r="AJ42" s="16"/>
      <c r="AK42" s="8"/>
      <c r="AL42" s="8"/>
      <c r="AM42" s="8"/>
      <c r="AN42" s="8"/>
      <c r="AO42" s="8"/>
      <c r="AP42" s="8"/>
      <c r="AQ42" s="16"/>
      <c r="AR42" s="8"/>
      <c r="AS42" s="8"/>
      <c r="AT42" s="8"/>
      <c r="AU42" s="8"/>
      <c r="AV42" s="8"/>
      <c r="AW42" s="8"/>
      <c r="AX42" s="16"/>
      <c r="AY42" s="8"/>
      <c r="AZ42" s="8"/>
      <c r="BA42" s="8"/>
      <c r="BB42" s="8"/>
      <c r="BC42" s="8"/>
      <c r="BD42" s="8"/>
      <c r="BE42" s="16"/>
      <c r="BF42" s="8"/>
      <c r="BG42" s="8"/>
      <c r="BH42" s="8"/>
      <c r="BI42" s="8"/>
      <c r="BJ42" s="8"/>
      <c r="BK42" s="8"/>
      <c r="BL42" s="16"/>
      <c r="BM42" s="8"/>
      <c r="BN42" s="8"/>
      <c r="BO42" s="8"/>
      <c r="BP42" s="8"/>
      <c r="BQ42" s="16"/>
      <c r="BR42" s="8"/>
      <c r="BS42" s="8"/>
      <c r="BT42" s="8"/>
      <c r="BU42" s="8"/>
      <c r="BV42" s="16"/>
      <c r="BW42" s="8"/>
      <c r="BX42" s="8"/>
      <c r="BY42" s="8"/>
      <c r="BZ42" s="8"/>
      <c r="CA42" s="16"/>
      <c r="CB42" s="8"/>
      <c r="CC42" s="8"/>
      <c r="CD42" s="8"/>
      <c r="CE42" s="8"/>
      <c r="CF42" s="16"/>
      <c r="CG42" s="8"/>
      <c r="CH42" s="8"/>
      <c r="CI42" s="8"/>
      <c r="CJ42" s="8"/>
      <c r="CK42" s="16"/>
      <c r="CL42" s="8"/>
      <c r="CM42" s="8"/>
      <c r="CN42" s="8"/>
      <c r="CO42" s="8"/>
      <c r="CP42" s="9"/>
      <c r="CQ42" s="8"/>
      <c r="CR42" s="8"/>
      <c r="CS42" s="8"/>
      <c r="CT42" s="8"/>
      <c r="CU42" s="8"/>
      <c r="CV42" s="8"/>
      <c r="CW42" s="8"/>
      <c r="CX42" s="8"/>
      <c r="CY42" s="8"/>
      <c r="CZ42" s="8"/>
      <c r="DA42" s="8"/>
      <c r="DB42" s="8"/>
      <c r="DC42" s="16"/>
    </row>
    <row r="43" spans="3:107" s="10" customFormat="1">
      <c r="C43" s="11"/>
      <c r="D43" s="11"/>
      <c r="E43" s="11"/>
      <c r="F43" s="11"/>
      <c r="G43" s="11" t="s">
        <v>196</v>
      </c>
      <c r="H43" s="11" t="s">
        <v>195</v>
      </c>
      <c r="I43" s="11"/>
      <c r="J43" s="11"/>
      <c r="K43" s="11"/>
      <c r="L43" s="11"/>
      <c r="M43" s="11"/>
      <c r="N43" s="11"/>
      <c r="O43" s="12"/>
      <c r="P43" s="12"/>
      <c r="Q43" s="13"/>
      <c r="R43" s="13"/>
      <c r="S43" s="14"/>
      <c r="T43" s="14"/>
      <c r="U43" s="14"/>
      <c r="V43" s="17"/>
      <c r="W43" s="14"/>
      <c r="X43" s="14"/>
      <c r="Y43" s="14"/>
      <c r="Z43" s="14"/>
      <c r="AA43" s="14"/>
      <c r="AB43" s="14"/>
      <c r="AC43" s="17"/>
      <c r="AD43" s="14"/>
      <c r="AE43" s="14"/>
      <c r="AF43" s="14"/>
      <c r="AG43" s="14"/>
      <c r="AH43" s="14"/>
      <c r="AI43" s="14"/>
      <c r="AJ43" s="17"/>
      <c r="AK43" s="14"/>
      <c r="AL43" s="14"/>
      <c r="AM43" s="14"/>
      <c r="AN43" s="14"/>
      <c r="AO43" s="14"/>
      <c r="AP43" s="14"/>
      <c r="AQ43" s="17"/>
      <c r="AR43" s="14"/>
      <c r="AS43" s="14"/>
      <c r="AT43" s="14"/>
      <c r="AU43" s="14"/>
      <c r="AV43" s="14"/>
      <c r="AW43" s="14"/>
      <c r="AX43" s="17"/>
      <c r="AY43" s="14"/>
      <c r="AZ43" s="14"/>
      <c r="BA43" s="14"/>
      <c r="BB43" s="14"/>
      <c r="BC43" s="14"/>
      <c r="BD43" s="14"/>
      <c r="BE43" s="17"/>
      <c r="BF43" s="14"/>
      <c r="BG43" s="14"/>
      <c r="BH43" s="14"/>
      <c r="BI43" s="14"/>
      <c r="BJ43" s="14"/>
      <c r="BK43" s="14"/>
      <c r="BL43" s="17"/>
      <c r="BM43" s="14"/>
      <c r="BN43" s="14"/>
      <c r="BO43" s="14"/>
      <c r="BP43" s="14"/>
      <c r="BQ43" s="17"/>
      <c r="BR43" s="14"/>
      <c r="BS43" s="14"/>
      <c r="BT43" s="14"/>
      <c r="BU43" s="14"/>
      <c r="BV43" s="17"/>
      <c r="BW43" s="14"/>
      <c r="BX43" s="14"/>
      <c r="BY43" s="14"/>
      <c r="BZ43" s="14"/>
      <c r="CA43" s="17"/>
      <c r="CB43" s="14"/>
      <c r="CC43" s="14"/>
      <c r="CD43" s="14"/>
      <c r="CE43" s="14"/>
      <c r="CF43" s="17"/>
      <c r="CG43" s="14"/>
      <c r="CH43" s="14"/>
      <c r="CI43" s="14"/>
      <c r="CJ43" s="14"/>
      <c r="CK43" s="17"/>
      <c r="CL43" s="14"/>
      <c r="CM43" s="14"/>
      <c r="CN43" s="14"/>
      <c r="CO43" s="14"/>
      <c r="CP43" s="15"/>
      <c r="CQ43" s="14"/>
      <c r="CR43" s="14"/>
      <c r="CS43" s="14"/>
      <c r="CT43" s="14"/>
      <c r="CU43" s="14"/>
      <c r="CV43" s="14"/>
      <c r="CW43" s="14"/>
      <c r="CX43" s="14"/>
      <c r="CY43" s="14"/>
      <c r="CZ43" s="14"/>
      <c r="DA43" s="14"/>
      <c r="DB43" s="14"/>
      <c r="DC43" s="17"/>
    </row>
  </sheetData>
  <mergeCells count="1">
    <mergeCell ref="A1:B1"/>
  </mergeCells>
  <phoneticPr fontId="24" type="noConversion"/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costcentersplit_Click">
                <anchor moveWithCells="1" sizeWithCells="1">
                  <from>
                    <xdr:col>0</xdr:col>
                    <xdr:colOff>127000</xdr:colOff>
                    <xdr:row>0</xdr:row>
                    <xdr:rowOff>63500</xdr:rowOff>
                  </from>
                  <to>
                    <xdr:col>1</xdr:col>
                    <xdr:colOff>514350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AA1B0-68DC-47AA-9F47-5F0214A8D418}">
  <sheetPr codeName="Sheet27"/>
  <dimension ref="A1:DC43"/>
  <sheetViews>
    <sheetView workbookViewId="0">
      <selection activeCell="I30" sqref="I30"/>
    </sheetView>
  </sheetViews>
  <sheetFormatPr defaultRowHeight="14"/>
  <sheetData>
    <row r="1" spans="1:107">
      <c r="A1" s="1" t="s">
        <v>198</v>
      </c>
      <c r="B1" s="1" t="s">
        <v>105</v>
      </c>
      <c r="C1" s="2" t="s">
        <v>0</v>
      </c>
      <c r="D1" s="2" t="s">
        <v>1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6</v>
      </c>
      <c r="J1" s="2" t="s">
        <v>7</v>
      </c>
      <c r="K1" s="2" t="s">
        <v>8</v>
      </c>
      <c r="L1" s="2" t="s">
        <v>9</v>
      </c>
      <c r="M1" s="2" t="s">
        <v>10</v>
      </c>
      <c r="N1" s="2" t="s">
        <v>11</v>
      </c>
      <c r="O1" s="2" t="s">
        <v>12</v>
      </c>
      <c r="P1" s="2" t="s">
        <v>13</v>
      </c>
      <c r="Q1" s="2" t="s">
        <v>14</v>
      </c>
      <c r="R1" s="2" t="s">
        <v>15</v>
      </c>
      <c r="S1" s="3" t="s">
        <v>16</v>
      </c>
      <c r="T1" s="3" t="s">
        <v>17</v>
      </c>
      <c r="U1" s="3" t="s">
        <v>18</v>
      </c>
      <c r="V1" s="3" t="s">
        <v>19</v>
      </c>
      <c r="W1" s="3" t="s">
        <v>20</v>
      </c>
      <c r="X1" s="3" t="s">
        <v>21</v>
      </c>
      <c r="Y1" s="3" t="s">
        <v>22</v>
      </c>
      <c r="Z1" s="3" t="s">
        <v>23</v>
      </c>
      <c r="AA1" s="3" t="s">
        <v>24</v>
      </c>
      <c r="AB1" s="3" t="s">
        <v>25</v>
      </c>
      <c r="AC1" s="3" t="s">
        <v>26</v>
      </c>
      <c r="AD1" s="3" t="s">
        <v>27</v>
      </c>
      <c r="AE1" s="3" t="s">
        <v>28</v>
      </c>
      <c r="AF1" s="3" t="s">
        <v>29</v>
      </c>
      <c r="AG1" s="3" t="s">
        <v>30</v>
      </c>
      <c r="AH1" s="3" t="s">
        <v>31</v>
      </c>
      <c r="AI1" s="3" t="s">
        <v>32</v>
      </c>
      <c r="AJ1" s="3" t="s">
        <v>33</v>
      </c>
      <c r="AK1" s="3" t="s">
        <v>34</v>
      </c>
      <c r="AL1" s="3" t="s">
        <v>35</v>
      </c>
      <c r="AM1" s="3" t="s">
        <v>36</v>
      </c>
      <c r="AN1" s="3" t="s">
        <v>37</v>
      </c>
      <c r="AO1" s="3" t="s">
        <v>38</v>
      </c>
      <c r="AP1" s="3" t="s">
        <v>39</v>
      </c>
      <c r="AQ1" s="3" t="s">
        <v>40</v>
      </c>
      <c r="AR1" s="3" t="s">
        <v>41</v>
      </c>
      <c r="AS1" s="3" t="s">
        <v>42</v>
      </c>
      <c r="AT1" s="3" t="s">
        <v>43</v>
      </c>
      <c r="AU1" s="3" t="s">
        <v>44</v>
      </c>
      <c r="AV1" s="3" t="s">
        <v>45</v>
      </c>
      <c r="AW1" s="3" t="s">
        <v>46</v>
      </c>
      <c r="AX1" s="3" t="s">
        <v>47</v>
      </c>
      <c r="AY1" s="3" t="s">
        <v>48</v>
      </c>
      <c r="AZ1" s="3" t="s">
        <v>49</v>
      </c>
      <c r="BA1" s="3" t="s">
        <v>50</v>
      </c>
      <c r="BB1" s="3" t="s">
        <v>51</v>
      </c>
      <c r="BC1" s="3" t="s">
        <v>52</v>
      </c>
      <c r="BD1" s="3" t="s">
        <v>53</v>
      </c>
      <c r="BE1" s="3" t="s">
        <v>54</v>
      </c>
      <c r="BF1" s="3" t="s">
        <v>55</v>
      </c>
      <c r="BG1" s="3" t="s">
        <v>56</v>
      </c>
      <c r="BH1" s="3" t="s">
        <v>57</v>
      </c>
      <c r="BI1" s="3" t="s">
        <v>58</v>
      </c>
      <c r="BJ1" s="3" t="s">
        <v>59</v>
      </c>
      <c r="BK1" s="3" t="s">
        <v>60</v>
      </c>
      <c r="BL1" s="3" t="s">
        <v>61</v>
      </c>
      <c r="BM1" s="3" t="s">
        <v>62</v>
      </c>
      <c r="BN1" s="3" t="s">
        <v>63</v>
      </c>
      <c r="BO1" s="3" t="s">
        <v>64</v>
      </c>
      <c r="BP1" s="3" t="s">
        <v>65</v>
      </c>
      <c r="BQ1" s="3" t="s">
        <v>66</v>
      </c>
      <c r="BR1" s="3" t="s">
        <v>67</v>
      </c>
      <c r="BS1" s="3" t="s">
        <v>68</v>
      </c>
      <c r="BT1" s="3" t="s">
        <v>69</v>
      </c>
      <c r="BU1" s="3" t="s">
        <v>70</v>
      </c>
      <c r="BV1" s="3" t="s">
        <v>71</v>
      </c>
      <c r="BW1" s="3" t="s">
        <v>72</v>
      </c>
      <c r="BX1" s="3" t="s">
        <v>73</v>
      </c>
      <c r="BY1" s="3" t="s">
        <v>74</v>
      </c>
      <c r="BZ1" s="3" t="s">
        <v>75</v>
      </c>
      <c r="CA1" s="3" t="s">
        <v>76</v>
      </c>
      <c r="CB1" s="3" t="s">
        <v>77</v>
      </c>
      <c r="CC1" s="3" t="s">
        <v>78</v>
      </c>
      <c r="CD1" s="3" t="s">
        <v>79</v>
      </c>
      <c r="CE1" s="3" t="s">
        <v>80</v>
      </c>
      <c r="CF1" s="3" t="s">
        <v>81</v>
      </c>
      <c r="CG1" s="3" t="s">
        <v>82</v>
      </c>
      <c r="CH1" s="3" t="s">
        <v>83</v>
      </c>
      <c r="CI1" s="3" t="s">
        <v>84</v>
      </c>
      <c r="CJ1" s="3" t="s">
        <v>85</v>
      </c>
      <c r="CK1" s="3" t="s">
        <v>86</v>
      </c>
      <c r="CL1" s="3" t="s">
        <v>87</v>
      </c>
      <c r="CM1" s="3" t="s">
        <v>88</v>
      </c>
      <c r="CN1" s="3" t="s">
        <v>89</v>
      </c>
      <c r="CO1" s="3" t="s">
        <v>90</v>
      </c>
      <c r="CP1" s="3" t="s">
        <v>91</v>
      </c>
      <c r="CQ1" s="3" t="s">
        <v>92</v>
      </c>
      <c r="CR1" s="3" t="s">
        <v>93</v>
      </c>
      <c r="CS1" s="3" t="s">
        <v>94</v>
      </c>
      <c r="CT1" s="3" t="s">
        <v>95</v>
      </c>
      <c r="CU1" s="3" t="s">
        <v>96</v>
      </c>
      <c r="CV1" s="3" t="s">
        <v>97</v>
      </c>
      <c r="CW1" s="3" t="s">
        <v>98</v>
      </c>
      <c r="CX1" s="3" t="s">
        <v>99</v>
      </c>
      <c r="CY1" s="3" t="s">
        <v>100</v>
      </c>
      <c r="CZ1" s="3" t="s">
        <v>101</v>
      </c>
      <c r="DA1" s="3" t="s">
        <v>102</v>
      </c>
      <c r="DB1" s="3" t="s">
        <v>103</v>
      </c>
      <c r="DC1" s="3" t="s">
        <v>104</v>
      </c>
    </row>
    <row r="2" spans="1:107">
      <c r="A2" s="4"/>
      <c r="B2" s="4"/>
      <c r="C2" s="5" t="s">
        <v>105</v>
      </c>
      <c r="D2" s="5" t="s">
        <v>106</v>
      </c>
      <c r="E2" s="5" t="s">
        <v>107</v>
      </c>
      <c r="F2" s="5" t="s">
        <v>108</v>
      </c>
      <c r="G2" s="5"/>
      <c r="H2" s="5">
        <v>129855</v>
      </c>
      <c r="I2" s="5">
        <v>5841813202</v>
      </c>
      <c r="J2" s="5" t="s">
        <v>109</v>
      </c>
      <c r="K2" s="5" t="s">
        <v>110</v>
      </c>
      <c r="L2" s="5" t="s">
        <v>110</v>
      </c>
      <c r="M2" s="5" t="s">
        <v>111</v>
      </c>
      <c r="N2" s="5" t="s">
        <v>112</v>
      </c>
      <c r="O2" s="6" t="s">
        <v>113</v>
      </c>
      <c r="P2" s="6" t="s">
        <v>114</v>
      </c>
      <c r="Q2" s="7"/>
      <c r="R2" s="7"/>
      <c r="S2" s="8">
        <v>0</v>
      </c>
      <c r="T2" s="8">
        <v>0</v>
      </c>
      <c r="U2" s="8">
        <v>3000</v>
      </c>
      <c r="V2" s="8">
        <v>3000</v>
      </c>
      <c r="W2" s="8">
        <v>3</v>
      </c>
      <c r="X2" s="8">
        <v>0</v>
      </c>
      <c r="Y2" s="8">
        <v>0</v>
      </c>
      <c r="Z2" s="8">
        <v>0</v>
      </c>
      <c r="AA2" s="8">
        <v>0</v>
      </c>
      <c r="AB2" s="8">
        <v>5000</v>
      </c>
      <c r="AC2" s="8">
        <v>5000</v>
      </c>
      <c r="AD2" s="8">
        <v>5</v>
      </c>
      <c r="AE2" s="8">
        <v>0</v>
      </c>
      <c r="AF2" s="8">
        <v>0</v>
      </c>
      <c r="AG2" s="8">
        <v>0</v>
      </c>
      <c r="AH2" s="8">
        <v>0</v>
      </c>
      <c r="AI2" s="8">
        <v>3000</v>
      </c>
      <c r="AJ2" s="8">
        <v>3000</v>
      </c>
      <c r="AK2" s="8">
        <v>3</v>
      </c>
      <c r="AL2" s="8">
        <v>0</v>
      </c>
      <c r="AM2" s="8">
        <v>0</v>
      </c>
      <c r="AN2" s="8">
        <v>0</v>
      </c>
      <c r="AO2" s="8">
        <v>0</v>
      </c>
      <c r="AP2" s="8">
        <v>3000</v>
      </c>
      <c r="AQ2" s="8">
        <v>3000</v>
      </c>
      <c r="AR2" s="8">
        <v>3</v>
      </c>
      <c r="AS2" s="8">
        <v>0</v>
      </c>
      <c r="AT2" s="8">
        <v>0</v>
      </c>
      <c r="AU2" s="8">
        <v>0</v>
      </c>
      <c r="AV2" s="8">
        <v>0</v>
      </c>
      <c r="AW2" s="8">
        <v>3000</v>
      </c>
      <c r="AX2" s="8">
        <v>3000</v>
      </c>
      <c r="AY2" s="8">
        <v>3</v>
      </c>
      <c r="AZ2" s="8">
        <v>605.26</v>
      </c>
      <c r="BA2" s="8">
        <v>0</v>
      </c>
      <c r="BB2" s="8">
        <v>0</v>
      </c>
      <c r="BC2" s="8">
        <v>0</v>
      </c>
      <c r="BD2" s="8">
        <v>4000</v>
      </c>
      <c r="BE2" s="8">
        <v>4000</v>
      </c>
      <c r="BF2" s="8">
        <v>4</v>
      </c>
      <c r="BG2" s="8">
        <v>0</v>
      </c>
      <c r="BH2" s="8">
        <v>0</v>
      </c>
      <c r="BI2" s="8">
        <v>0</v>
      </c>
      <c r="BJ2" s="8">
        <v>0</v>
      </c>
      <c r="BK2" s="8">
        <v>4000</v>
      </c>
      <c r="BL2" s="8">
        <v>4000</v>
      </c>
      <c r="BM2" s="8">
        <v>4</v>
      </c>
      <c r="BN2" s="8">
        <v>0</v>
      </c>
      <c r="BO2" s="8">
        <v>0</v>
      </c>
      <c r="BP2" s="8">
        <v>2000</v>
      </c>
      <c r="BQ2" s="8">
        <v>2000</v>
      </c>
      <c r="BR2" s="8">
        <v>2</v>
      </c>
      <c r="BS2" s="8">
        <v>0</v>
      </c>
      <c r="BT2" s="8">
        <v>0</v>
      </c>
      <c r="BU2" s="8">
        <v>4000</v>
      </c>
      <c r="BV2" s="8">
        <v>4000</v>
      </c>
      <c r="BW2" s="8">
        <v>4</v>
      </c>
      <c r="BX2" s="8">
        <v>0</v>
      </c>
      <c r="BY2" s="8">
        <v>0</v>
      </c>
      <c r="BZ2" s="8">
        <v>4000</v>
      </c>
      <c r="CA2" s="8">
        <v>4000</v>
      </c>
      <c r="CB2" s="8">
        <v>4</v>
      </c>
      <c r="CC2" s="8">
        <v>0</v>
      </c>
      <c r="CD2" s="8">
        <v>0</v>
      </c>
      <c r="CE2" s="8">
        <v>4000</v>
      </c>
      <c r="CF2" s="8">
        <v>4000</v>
      </c>
      <c r="CG2" s="8">
        <v>4</v>
      </c>
      <c r="CH2" s="8">
        <v>0</v>
      </c>
      <c r="CI2" s="8">
        <v>0</v>
      </c>
      <c r="CJ2" s="8">
        <v>4000</v>
      </c>
      <c r="CK2" s="8">
        <v>4000</v>
      </c>
      <c r="CL2" s="8">
        <v>4</v>
      </c>
      <c r="CM2" s="8">
        <v>0</v>
      </c>
      <c r="CN2" s="8">
        <v>0</v>
      </c>
      <c r="CO2" s="8">
        <v>0</v>
      </c>
      <c r="CP2" s="9">
        <v>43000</v>
      </c>
      <c r="CQ2" s="9">
        <v>43000</v>
      </c>
      <c r="CR2" s="8">
        <v>3.5</v>
      </c>
      <c r="CS2" s="8">
        <v>0</v>
      </c>
      <c r="CT2" s="8">
        <v>0</v>
      </c>
      <c r="CU2" s="8">
        <v>0</v>
      </c>
      <c r="CV2" s="8">
        <v>-43000</v>
      </c>
      <c r="CW2" s="8">
        <v>-43000</v>
      </c>
      <c r="CX2" s="8">
        <v>0</v>
      </c>
      <c r="CY2" s="8">
        <v>0</v>
      </c>
      <c r="CZ2" s="8">
        <v>0</v>
      </c>
      <c r="DA2" s="8">
        <v>0</v>
      </c>
      <c r="DB2" s="8">
        <v>43000</v>
      </c>
      <c r="DC2" s="8">
        <v>43000</v>
      </c>
    </row>
    <row r="3" spans="1:107">
      <c r="A3" s="10"/>
      <c r="B3" s="10"/>
      <c r="C3" s="11" t="s">
        <v>105</v>
      </c>
      <c r="D3" s="11" t="s">
        <v>106</v>
      </c>
      <c r="E3" s="11" t="s">
        <v>115</v>
      </c>
      <c r="F3" s="11" t="s">
        <v>116</v>
      </c>
      <c r="G3" s="11"/>
      <c r="H3" s="11">
        <v>129915</v>
      </c>
      <c r="I3" s="11">
        <v>5841813202</v>
      </c>
      <c r="J3" s="11" t="s">
        <v>109</v>
      </c>
      <c r="K3" s="11" t="s">
        <v>117</v>
      </c>
      <c r="L3" s="11" t="s">
        <v>117</v>
      </c>
      <c r="M3" s="11" t="s">
        <v>111</v>
      </c>
      <c r="N3" s="11" t="s">
        <v>112</v>
      </c>
      <c r="O3" s="12" t="s">
        <v>113</v>
      </c>
      <c r="P3" s="12" t="s">
        <v>114</v>
      </c>
      <c r="Q3" s="13"/>
      <c r="R3" s="13"/>
      <c r="S3" s="14">
        <v>0</v>
      </c>
      <c r="T3" s="14">
        <v>0</v>
      </c>
      <c r="U3" s="8">
        <v>5000</v>
      </c>
      <c r="V3" s="8">
        <v>5000</v>
      </c>
      <c r="W3" s="14">
        <v>5</v>
      </c>
      <c r="X3" s="14">
        <v>0</v>
      </c>
      <c r="Y3" s="14">
        <v>0</v>
      </c>
      <c r="Z3" s="14">
        <v>0</v>
      </c>
      <c r="AA3" s="14">
        <v>0</v>
      </c>
      <c r="AB3" s="8">
        <v>5000</v>
      </c>
      <c r="AC3" s="8">
        <v>5000</v>
      </c>
      <c r="AD3" s="14">
        <v>5</v>
      </c>
      <c r="AE3" s="14">
        <v>0</v>
      </c>
      <c r="AF3" s="14">
        <v>0</v>
      </c>
      <c r="AG3" s="14">
        <v>0</v>
      </c>
      <c r="AH3" s="8">
        <v>0</v>
      </c>
      <c r="AI3" s="8">
        <v>5000</v>
      </c>
      <c r="AJ3" s="8">
        <v>5000</v>
      </c>
      <c r="AK3" s="14">
        <v>5</v>
      </c>
      <c r="AL3" s="14">
        <v>0</v>
      </c>
      <c r="AM3" s="14">
        <v>0</v>
      </c>
      <c r="AN3" s="14">
        <v>0</v>
      </c>
      <c r="AO3" s="8">
        <v>0</v>
      </c>
      <c r="AP3" s="8">
        <v>5000</v>
      </c>
      <c r="AQ3" s="8">
        <v>5000</v>
      </c>
      <c r="AR3" s="14">
        <v>5</v>
      </c>
      <c r="AS3" s="14">
        <v>0</v>
      </c>
      <c r="AT3" s="14">
        <v>0</v>
      </c>
      <c r="AU3" s="14">
        <v>0</v>
      </c>
      <c r="AV3" s="8">
        <v>0</v>
      </c>
      <c r="AW3" s="8">
        <v>5000</v>
      </c>
      <c r="AX3" s="8">
        <v>5000</v>
      </c>
      <c r="AY3" s="14">
        <v>5</v>
      </c>
      <c r="AZ3" s="14">
        <v>0</v>
      </c>
      <c r="BA3" s="14">
        <v>0</v>
      </c>
      <c r="BB3" s="14">
        <v>0</v>
      </c>
      <c r="BC3" s="8">
        <v>0</v>
      </c>
      <c r="BD3" s="8">
        <v>5000</v>
      </c>
      <c r="BE3" s="8">
        <v>5000</v>
      </c>
      <c r="BF3" s="14">
        <v>5</v>
      </c>
      <c r="BG3" s="14">
        <v>0</v>
      </c>
      <c r="BH3" s="14">
        <v>0</v>
      </c>
      <c r="BI3" s="14">
        <v>0</v>
      </c>
      <c r="BJ3" s="8">
        <v>0</v>
      </c>
      <c r="BK3" s="8">
        <v>5000</v>
      </c>
      <c r="BL3" s="8">
        <v>5000</v>
      </c>
      <c r="BM3" s="14">
        <v>5</v>
      </c>
      <c r="BN3" s="14">
        <v>0</v>
      </c>
      <c r="BO3" s="14">
        <v>0</v>
      </c>
      <c r="BP3" s="8">
        <v>5000</v>
      </c>
      <c r="BQ3" s="8">
        <v>5000</v>
      </c>
      <c r="BR3" s="14">
        <v>5</v>
      </c>
      <c r="BS3" s="14">
        <v>0</v>
      </c>
      <c r="BT3" s="14">
        <v>0</v>
      </c>
      <c r="BU3" s="8">
        <v>5000</v>
      </c>
      <c r="BV3" s="8">
        <v>5000</v>
      </c>
      <c r="BW3" s="14">
        <v>5</v>
      </c>
      <c r="BX3" s="14">
        <v>0</v>
      </c>
      <c r="BY3" s="14">
        <v>0</v>
      </c>
      <c r="BZ3" s="8">
        <v>5000</v>
      </c>
      <c r="CA3" s="8">
        <v>5000</v>
      </c>
      <c r="CB3" s="14">
        <v>5</v>
      </c>
      <c r="CC3" s="14">
        <v>0</v>
      </c>
      <c r="CD3" s="14">
        <v>0</v>
      </c>
      <c r="CE3" s="8">
        <v>5000</v>
      </c>
      <c r="CF3" s="8">
        <v>5000</v>
      </c>
      <c r="CG3" s="14">
        <v>5</v>
      </c>
      <c r="CH3" s="14">
        <v>0</v>
      </c>
      <c r="CI3" s="14">
        <v>0</v>
      </c>
      <c r="CJ3" s="8">
        <v>5000</v>
      </c>
      <c r="CK3" s="8">
        <v>5000</v>
      </c>
      <c r="CL3" s="14">
        <v>5</v>
      </c>
      <c r="CM3" s="14">
        <v>0</v>
      </c>
      <c r="CN3" s="14">
        <v>0</v>
      </c>
      <c r="CO3" s="14">
        <v>0</v>
      </c>
      <c r="CP3" s="9">
        <v>60000</v>
      </c>
      <c r="CQ3" s="9">
        <v>60000</v>
      </c>
      <c r="CR3" s="14">
        <v>5</v>
      </c>
      <c r="CS3" s="14">
        <v>0</v>
      </c>
      <c r="CT3" s="14">
        <v>0</v>
      </c>
      <c r="CU3" s="14">
        <v>0</v>
      </c>
      <c r="CV3" s="8">
        <v>-60000</v>
      </c>
      <c r="CW3" s="8">
        <v>-60000</v>
      </c>
      <c r="CX3" s="14">
        <v>0</v>
      </c>
      <c r="CY3" s="14">
        <v>0</v>
      </c>
      <c r="CZ3" s="14">
        <v>0</v>
      </c>
      <c r="DA3" s="14">
        <v>0</v>
      </c>
      <c r="DB3" s="8">
        <v>60000</v>
      </c>
      <c r="DC3" s="8">
        <v>60000</v>
      </c>
    </row>
    <row r="4" spans="1:107">
      <c r="A4" s="4"/>
      <c r="B4" s="4"/>
      <c r="C4" s="5" t="s">
        <v>105</v>
      </c>
      <c r="D4" s="5" t="s">
        <v>106</v>
      </c>
      <c r="E4" s="5" t="s">
        <v>107</v>
      </c>
      <c r="F4" s="5" t="s">
        <v>118</v>
      </c>
      <c r="G4" s="5"/>
      <c r="H4" s="5">
        <v>363972</v>
      </c>
      <c r="I4" s="5">
        <v>5841813202</v>
      </c>
      <c r="J4" s="5" t="s">
        <v>109</v>
      </c>
      <c r="K4" s="5" t="s">
        <v>119</v>
      </c>
      <c r="L4" s="5" t="s">
        <v>119</v>
      </c>
      <c r="M4" s="5" t="s">
        <v>111</v>
      </c>
      <c r="N4" s="5" t="s">
        <v>112</v>
      </c>
      <c r="O4" s="6" t="s">
        <v>113</v>
      </c>
      <c r="P4" s="6" t="s">
        <v>114</v>
      </c>
      <c r="Q4" s="7"/>
      <c r="R4" s="7"/>
      <c r="S4" s="8">
        <v>0</v>
      </c>
      <c r="T4" s="8">
        <v>0</v>
      </c>
      <c r="U4" s="8">
        <v>5000</v>
      </c>
      <c r="V4" s="8">
        <v>5000</v>
      </c>
      <c r="W4" s="8">
        <v>5</v>
      </c>
      <c r="X4" s="8">
        <v>0</v>
      </c>
      <c r="Y4" s="8">
        <v>0</v>
      </c>
      <c r="Z4" s="8">
        <v>0</v>
      </c>
      <c r="AA4" s="8">
        <v>0</v>
      </c>
      <c r="AB4" s="8">
        <v>5000</v>
      </c>
      <c r="AC4" s="8">
        <v>5000</v>
      </c>
      <c r="AD4" s="8">
        <v>5</v>
      </c>
      <c r="AE4" s="8">
        <v>0</v>
      </c>
      <c r="AF4" s="8">
        <v>0</v>
      </c>
      <c r="AG4" s="8">
        <v>0</v>
      </c>
      <c r="AH4" s="8">
        <v>0</v>
      </c>
      <c r="AI4" s="8">
        <v>5000</v>
      </c>
      <c r="AJ4" s="8">
        <v>5000</v>
      </c>
      <c r="AK4" s="8">
        <v>5</v>
      </c>
      <c r="AL4" s="8">
        <v>0</v>
      </c>
      <c r="AM4" s="8">
        <v>0</v>
      </c>
      <c r="AN4" s="8">
        <v>0</v>
      </c>
      <c r="AO4" s="8">
        <v>0</v>
      </c>
      <c r="AP4" s="8">
        <v>5000</v>
      </c>
      <c r="AQ4" s="8">
        <v>5000</v>
      </c>
      <c r="AR4" s="8">
        <v>5</v>
      </c>
      <c r="AS4" s="8">
        <v>0</v>
      </c>
      <c r="AT4" s="8">
        <v>0</v>
      </c>
      <c r="AU4" s="8">
        <v>0</v>
      </c>
      <c r="AV4" s="8">
        <v>0</v>
      </c>
      <c r="AW4" s="8">
        <v>5000</v>
      </c>
      <c r="AX4" s="8">
        <v>5000</v>
      </c>
      <c r="AY4" s="8">
        <v>5</v>
      </c>
      <c r="AZ4" s="8">
        <v>96.01</v>
      </c>
      <c r="BA4" s="8">
        <v>0</v>
      </c>
      <c r="BB4" s="8">
        <v>0</v>
      </c>
      <c r="BC4" s="8">
        <v>0</v>
      </c>
      <c r="BD4" s="8">
        <v>6000</v>
      </c>
      <c r="BE4" s="8">
        <v>6000</v>
      </c>
      <c r="BF4" s="8">
        <v>6</v>
      </c>
      <c r="BG4" s="8">
        <v>0</v>
      </c>
      <c r="BH4" s="8">
        <v>0</v>
      </c>
      <c r="BI4" s="8">
        <v>0</v>
      </c>
      <c r="BJ4" s="8">
        <v>0</v>
      </c>
      <c r="BK4" s="8">
        <v>6000</v>
      </c>
      <c r="BL4" s="8">
        <v>6000</v>
      </c>
      <c r="BM4" s="8">
        <v>6</v>
      </c>
      <c r="BN4" s="8">
        <v>0</v>
      </c>
      <c r="BO4" s="8">
        <v>0</v>
      </c>
      <c r="BP4" s="8">
        <v>0</v>
      </c>
      <c r="BQ4" s="8">
        <v>0</v>
      </c>
      <c r="BR4" s="8">
        <v>0</v>
      </c>
      <c r="BS4" s="8">
        <v>0</v>
      </c>
      <c r="BT4" s="8">
        <v>0</v>
      </c>
      <c r="BU4" s="8">
        <v>0</v>
      </c>
      <c r="BV4" s="8">
        <v>0</v>
      </c>
      <c r="BW4" s="8">
        <v>0</v>
      </c>
      <c r="BX4" s="8">
        <v>0</v>
      </c>
      <c r="BY4" s="8">
        <v>0</v>
      </c>
      <c r="BZ4" s="8">
        <v>0</v>
      </c>
      <c r="CA4" s="8">
        <v>0</v>
      </c>
      <c r="CB4" s="8">
        <v>0</v>
      </c>
      <c r="CC4" s="8">
        <v>0</v>
      </c>
      <c r="CD4" s="8">
        <v>0</v>
      </c>
      <c r="CE4" s="8">
        <v>0</v>
      </c>
      <c r="CF4" s="8">
        <v>0</v>
      </c>
      <c r="CG4" s="8">
        <v>0</v>
      </c>
      <c r="CH4" s="8">
        <v>0</v>
      </c>
      <c r="CI4" s="8">
        <v>0</v>
      </c>
      <c r="CJ4" s="8">
        <v>0</v>
      </c>
      <c r="CK4" s="8">
        <v>0</v>
      </c>
      <c r="CL4" s="8">
        <v>0</v>
      </c>
      <c r="CM4" s="8">
        <v>0</v>
      </c>
      <c r="CN4" s="8">
        <v>0</v>
      </c>
      <c r="CO4" s="8">
        <v>0</v>
      </c>
      <c r="CP4" s="9">
        <v>37000</v>
      </c>
      <c r="CQ4" s="9">
        <v>37000</v>
      </c>
      <c r="CR4" s="8">
        <v>2.6</v>
      </c>
      <c r="CS4" s="8">
        <v>0</v>
      </c>
      <c r="CT4" s="8">
        <v>0</v>
      </c>
      <c r="CU4" s="8">
        <v>0</v>
      </c>
      <c r="CV4" s="8">
        <v>-37000</v>
      </c>
      <c r="CW4" s="8">
        <v>-37000</v>
      </c>
      <c r="CX4" s="8">
        <v>0</v>
      </c>
      <c r="CY4" s="8">
        <v>0</v>
      </c>
      <c r="CZ4" s="8">
        <v>0</v>
      </c>
      <c r="DA4" s="8">
        <v>0</v>
      </c>
      <c r="DB4" s="8">
        <v>37000</v>
      </c>
      <c r="DC4" s="8">
        <v>37000</v>
      </c>
    </row>
    <row r="5" spans="1:107">
      <c r="A5" s="10"/>
      <c r="B5" s="10"/>
      <c r="C5" s="11" t="s">
        <v>105</v>
      </c>
      <c r="D5" s="11" t="s">
        <v>106</v>
      </c>
      <c r="E5" s="11" t="s">
        <v>120</v>
      </c>
      <c r="F5" s="11" t="s">
        <v>121</v>
      </c>
      <c r="G5" s="11"/>
      <c r="H5" s="11">
        <v>365477</v>
      </c>
      <c r="I5" s="11">
        <v>5841813202</v>
      </c>
      <c r="J5" s="11" t="s">
        <v>109</v>
      </c>
      <c r="K5" s="11" t="s">
        <v>122</v>
      </c>
      <c r="L5" s="11" t="s">
        <v>122</v>
      </c>
      <c r="M5" s="11" t="s">
        <v>111</v>
      </c>
      <c r="N5" s="11" t="s">
        <v>112</v>
      </c>
      <c r="O5" s="12" t="s">
        <v>113</v>
      </c>
      <c r="P5" s="12" t="s">
        <v>123</v>
      </c>
      <c r="Q5" s="13"/>
      <c r="R5" s="13"/>
      <c r="S5" s="14">
        <v>0</v>
      </c>
      <c r="T5" s="14">
        <v>0</v>
      </c>
      <c r="U5" s="8">
        <v>6000</v>
      </c>
      <c r="V5" s="8">
        <v>6000</v>
      </c>
      <c r="W5" s="14">
        <v>6</v>
      </c>
      <c r="X5" s="14">
        <v>0</v>
      </c>
      <c r="Y5" s="14">
        <v>0</v>
      </c>
      <c r="Z5" s="14">
        <v>0</v>
      </c>
      <c r="AA5" s="14">
        <v>0</v>
      </c>
      <c r="AB5" s="8">
        <v>6000</v>
      </c>
      <c r="AC5" s="8">
        <v>6000</v>
      </c>
      <c r="AD5" s="14">
        <v>6</v>
      </c>
      <c r="AE5" s="14">
        <v>0</v>
      </c>
      <c r="AF5" s="14">
        <v>0</v>
      </c>
      <c r="AG5" s="14">
        <v>0</v>
      </c>
      <c r="AH5" s="8">
        <v>0</v>
      </c>
      <c r="AI5" s="8">
        <v>6000</v>
      </c>
      <c r="AJ5" s="8">
        <v>6000</v>
      </c>
      <c r="AK5" s="14">
        <v>6</v>
      </c>
      <c r="AL5" s="14">
        <v>0</v>
      </c>
      <c r="AM5" s="14">
        <v>0</v>
      </c>
      <c r="AN5" s="14">
        <v>0</v>
      </c>
      <c r="AO5" s="8">
        <v>0</v>
      </c>
      <c r="AP5" s="8">
        <v>6000</v>
      </c>
      <c r="AQ5" s="8">
        <v>6000</v>
      </c>
      <c r="AR5" s="14">
        <v>6</v>
      </c>
      <c r="AS5" s="14">
        <v>0</v>
      </c>
      <c r="AT5" s="14">
        <v>0</v>
      </c>
      <c r="AU5" s="14">
        <v>0</v>
      </c>
      <c r="AV5" s="8">
        <v>0</v>
      </c>
      <c r="AW5" s="8">
        <v>6000</v>
      </c>
      <c r="AX5" s="8">
        <v>6000</v>
      </c>
      <c r="AY5" s="14">
        <v>6</v>
      </c>
      <c r="AZ5" s="14">
        <v>0</v>
      </c>
      <c r="BA5" s="14">
        <v>0</v>
      </c>
      <c r="BB5" s="14">
        <v>0</v>
      </c>
      <c r="BC5" s="8">
        <v>0</v>
      </c>
      <c r="BD5" s="8">
        <v>6000</v>
      </c>
      <c r="BE5" s="8">
        <v>6000</v>
      </c>
      <c r="BF5" s="14">
        <v>6</v>
      </c>
      <c r="BG5" s="14">
        <v>0</v>
      </c>
      <c r="BH5" s="14">
        <v>0</v>
      </c>
      <c r="BI5" s="14">
        <v>0</v>
      </c>
      <c r="BJ5" s="8">
        <v>0</v>
      </c>
      <c r="BK5" s="8">
        <v>6000</v>
      </c>
      <c r="BL5" s="8">
        <v>6000</v>
      </c>
      <c r="BM5" s="14">
        <v>6</v>
      </c>
      <c r="BN5" s="14">
        <v>0</v>
      </c>
      <c r="BO5" s="14">
        <v>0</v>
      </c>
      <c r="BP5" s="8">
        <v>6000</v>
      </c>
      <c r="BQ5" s="8">
        <v>6000</v>
      </c>
      <c r="BR5" s="14">
        <v>6</v>
      </c>
      <c r="BS5" s="14">
        <v>0</v>
      </c>
      <c r="BT5" s="14">
        <v>0</v>
      </c>
      <c r="BU5" s="8">
        <v>6000</v>
      </c>
      <c r="BV5" s="8">
        <v>6000</v>
      </c>
      <c r="BW5" s="14">
        <v>6</v>
      </c>
      <c r="BX5" s="14">
        <v>0</v>
      </c>
      <c r="BY5" s="14">
        <v>0</v>
      </c>
      <c r="BZ5" s="8">
        <v>6000</v>
      </c>
      <c r="CA5" s="8">
        <v>6000</v>
      </c>
      <c r="CB5" s="14">
        <v>6</v>
      </c>
      <c r="CC5" s="14">
        <v>0</v>
      </c>
      <c r="CD5" s="14">
        <v>0</v>
      </c>
      <c r="CE5" s="8">
        <v>6000</v>
      </c>
      <c r="CF5" s="8">
        <v>6000</v>
      </c>
      <c r="CG5" s="14">
        <v>6</v>
      </c>
      <c r="CH5" s="14">
        <v>0</v>
      </c>
      <c r="CI5" s="14">
        <v>0</v>
      </c>
      <c r="CJ5" s="8">
        <v>6000</v>
      </c>
      <c r="CK5" s="8">
        <v>6000</v>
      </c>
      <c r="CL5" s="14">
        <v>6</v>
      </c>
      <c r="CM5" s="14">
        <v>0</v>
      </c>
      <c r="CN5" s="14">
        <v>0</v>
      </c>
      <c r="CO5" s="14">
        <v>0</v>
      </c>
      <c r="CP5" s="9">
        <v>72000</v>
      </c>
      <c r="CQ5" s="9">
        <v>72000</v>
      </c>
      <c r="CR5" s="14">
        <v>6</v>
      </c>
      <c r="CS5" s="14">
        <v>0</v>
      </c>
      <c r="CT5" s="14">
        <v>0</v>
      </c>
      <c r="CU5" s="14">
        <v>0</v>
      </c>
      <c r="CV5" s="8">
        <v>-72000</v>
      </c>
      <c r="CW5" s="8">
        <v>-72000</v>
      </c>
      <c r="CX5" s="14">
        <v>0</v>
      </c>
      <c r="CY5" s="14">
        <v>0</v>
      </c>
      <c r="CZ5" s="14">
        <v>0</v>
      </c>
      <c r="DA5" s="14">
        <v>0</v>
      </c>
      <c r="DB5" s="8">
        <v>72000</v>
      </c>
      <c r="DC5" s="8">
        <v>72000</v>
      </c>
    </row>
    <row r="6" spans="1:107">
      <c r="A6" s="4"/>
      <c r="B6" s="4"/>
      <c r="C6" s="5" t="s">
        <v>105</v>
      </c>
      <c r="D6" s="5" t="s">
        <v>106</v>
      </c>
      <c r="E6" s="5" t="s">
        <v>124</v>
      </c>
      <c r="F6" s="5" t="s">
        <v>125</v>
      </c>
      <c r="G6" s="5" t="s">
        <v>126</v>
      </c>
      <c r="H6" s="5">
        <v>36617001</v>
      </c>
      <c r="I6" s="5">
        <v>5841813202</v>
      </c>
      <c r="J6" s="5" t="s">
        <v>109</v>
      </c>
      <c r="K6" s="5" t="s">
        <v>127</v>
      </c>
      <c r="L6" s="5" t="s">
        <v>127</v>
      </c>
      <c r="M6" s="5" t="s">
        <v>111</v>
      </c>
      <c r="N6" s="5" t="s">
        <v>128</v>
      </c>
      <c r="O6" s="6" t="s">
        <v>113</v>
      </c>
      <c r="P6" s="6" t="s">
        <v>114</v>
      </c>
      <c r="Q6" s="7"/>
      <c r="R6" s="7"/>
      <c r="S6" s="8">
        <v>0</v>
      </c>
      <c r="T6" s="8">
        <v>0</v>
      </c>
      <c r="U6" s="8">
        <v>5000</v>
      </c>
      <c r="V6" s="8">
        <v>5000</v>
      </c>
      <c r="W6" s="8">
        <v>5</v>
      </c>
      <c r="X6" s="8">
        <v>0</v>
      </c>
      <c r="Y6" s="8">
        <v>0</v>
      </c>
      <c r="Z6" s="8">
        <v>0</v>
      </c>
      <c r="AA6" s="8">
        <v>0</v>
      </c>
      <c r="AB6" s="8">
        <v>5000</v>
      </c>
      <c r="AC6" s="8">
        <v>5000</v>
      </c>
      <c r="AD6" s="8">
        <v>5</v>
      </c>
      <c r="AE6" s="8">
        <v>0</v>
      </c>
      <c r="AF6" s="8">
        <v>0</v>
      </c>
      <c r="AG6" s="8">
        <v>0</v>
      </c>
      <c r="AH6" s="8">
        <v>0</v>
      </c>
      <c r="AI6" s="8">
        <v>6000</v>
      </c>
      <c r="AJ6" s="8">
        <v>6000</v>
      </c>
      <c r="AK6" s="8">
        <v>6</v>
      </c>
      <c r="AL6" s="8">
        <v>0</v>
      </c>
      <c r="AM6" s="8">
        <v>0</v>
      </c>
      <c r="AN6" s="8">
        <v>0</v>
      </c>
      <c r="AO6" s="8">
        <v>0</v>
      </c>
      <c r="AP6" s="8">
        <v>7000</v>
      </c>
      <c r="AQ6" s="8">
        <v>7000</v>
      </c>
      <c r="AR6" s="8">
        <v>7</v>
      </c>
      <c r="AS6" s="8">
        <v>0</v>
      </c>
      <c r="AT6" s="8">
        <v>0</v>
      </c>
      <c r="AU6" s="8">
        <v>0</v>
      </c>
      <c r="AV6" s="8">
        <v>0</v>
      </c>
      <c r="AW6" s="8">
        <v>6000</v>
      </c>
      <c r="AX6" s="8">
        <v>6000</v>
      </c>
      <c r="AY6" s="8">
        <v>6</v>
      </c>
      <c r="AZ6" s="8">
        <v>0</v>
      </c>
      <c r="BA6" s="8">
        <v>0</v>
      </c>
      <c r="BB6" s="8">
        <v>0</v>
      </c>
      <c r="BC6" s="8">
        <v>0</v>
      </c>
      <c r="BD6" s="8">
        <v>6000</v>
      </c>
      <c r="BE6" s="8">
        <v>6000</v>
      </c>
      <c r="BF6" s="8">
        <v>6</v>
      </c>
      <c r="BG6" s="8">
        <v>0</v>
      </c>
      <c r="BH6" s="8">
        <v>0</v>
      </c>
      <c r="BI6" s="8">
        <v>0</v>
      </c>
      <c r="BJ6" s="8">
        <v>0</v>
      </c>
      <c r="BK6" s="8">
        <v>6000</v>
      </c>
      <c r="BL6" s="8">
        <v>6000</v>
      </c>
      <c r="BM6" s="8">
        <v>6</v>
      </c>
      <c r="BN6" s="8">
        <v>0</v>
      </c>
      <c r="BO6" s="8">
        <v>0</v>
      </c>
      <c r="BP6" s="8">
        <v>5000</v>
      </c>
      <c r="BQ6" s="8">
        <v>5000</v>
      </c>
      <c r="BR6" s="8">
        <v>5</v>
      </c>
      <c r="BS6" s="8">
        <v>0</v>
      </c>
      <c r="BT6" s="8">
        <v>0</v>
      </c>
      <c r="BU6" s="8">
        <v>7000</v>
      </c>
      <c r="BV6" s="8">
        <v>7000</v>
      </c>
      <c r="BW6" s="8">
        <v>7</v>
      </c>
      <c r="BX6" s="8">
        <v>0</v>
      </c>
      <c r="BY6" s="8">
        <v>0</v>
      </c>
      <c r="BZ6" s="8">
        <v>7000</v>
      </c>
      <c r="CA6" s="8">
        <v>7000</v>
      </c>
      <c r="CB6" s="8">
        <v>7</v>
      </c>
      <c r="CC6" s="8">
        <v>0</v>
      </c>
      <c r="CD6" s="8">
        <v>0</v>
      </c>
      <c r="CE6" s="8">
        <v>7000</v>
      </c>
      <c r="CF6" s="8">
        <v>7000</v>
      </c>
      <c r="CG6" s="8">
        <v>7</v>
      </c>
      <c r="CH6" s="8">
        <v>0</v>
      </c>
      <c r="CI6" s="8">
        <v>0</v>
      </c>
      <c r="CJ6" s="8">
        <v>7000</v>
      </c>
      <c r="CK6" s="8">
        <v>7000</v>
      </c>
      <c r="CL6" s="8">
        <v>7</v>
      </c>
      <c r="CM6" s="8">
        <v>0</v>
      </c>
      <c r="CN6" s="8">
        <v>0</v>
      </c>
      <c r="CO6" s="8">
        <v>0</v>
      </c>
      <c r="CP6" s="9">
        <v>74000</v>
      </c>
      <c r="CQ6" s="9">
        <v>74000</v>
      </c>
      <c r="CR6" s="8">
        <v>6.2</v>
      </c>
      <c r="CS6" s="8">
        <v>0</v>
      </c>
      <c r="CT6" s="8">
        <v>0</v>
      </c>
      <c r="CU6" s="8">
        <v>0</v>
      </c>
      <c r="CV6" s="8">
        <v>-74000</v>
      </c>
      <c r="CW6" s="8">
        <v>-74000</v>
      </c>
      <c r="CX6" s="8">
        <v>0</v>
      </c>
      <c r="CY6" s="8">
        <v>0</v>
      </c>
      <c r="CZ6" s="8">
        <v>0</v>
      </c>
      <c r="DA6" s="8">
        <v>0</v>
      </c>
      <c r="DB6" s="8">
        <v>74000</v>
      </c>
      <c r="DC6" s="8">
        <v>74000</v>
      </c>
    </row>
    <row r="7" spans="1:107">
      <c r="A7" s="10"/>
      <c r="B7" s="10"/>
      <c r="C7" s="11" t="s">
        <v>105</v>
      </c>
      <c r="D7" s="11" t="s">
        <v>106</v>
      </c>
      <c r="E7" s="11" t="s">
        <v>107</v>
      </c>
      <c r="F7" s="11" t="s">
        <v>129</v>
      </c>
      <c r="G7" s="11" t="s">
        <v>126</v>
      </c>
      <c r="H7" s="11">
        <v>36617003</v>
      </c>
      <c r="I7" s="11">
        <v>5842213202</v>
      </c>
      <c r="J7" s="11" t="s">
        <v>109</v>
      </c>
      <c r="K7" s="11" t="s">
        <v>130</v>
      </c>
      <c r="L7" s="11" t="s">
        <v>130</v>
      </c>
      <c r="M7" s="11" t="s">
        <v>111</v>
      </c>
      <c r="N7" s="11" t="s">
        <v>128</v>
      </c>
      <c r="O7" s="12" t="s">
        <v>113</v>
      </c>
      <c r="P7" s="12" t="s">
        <v>114</v>
      </c>
      <c r="Q7" s="13"/>
      <c r="R7" s="13"/>
      <c r="S7" s="14">
        <v>0</v>
      </c>
      <c r="T7" s="14">
        <v>0</v>
      </c>
      <c r="U7" s="8">
        <v>5000</v>
      </c>
      <c r="V7" s="8">
        <v>5000</v>
      </c>
      <c r="W7" s="14">
        <v>5</v>
      </c>
      <c r="X7" s="14">
        <v>0</v>
      </c>
      <c r="Y7" s="14">
        <v>0</v>
      </c>
      <c r="Z7" s="14">
        <v>0</v>
      </c>
      <c r="AA7" s="14">
        <v>0</v>
      </c>
      <c r="AB7" s="8">
        <v>5000</v>
      </c>
      <c r="AC7" s="8">
        <v>5000</v>
      </c>
      <c r="AD7" s="14">
        <v>5</v>
      </c>
      <c r="AE7" s="14">
        <v>0</v>
      </c>
      <c r="AF7" s="14">
        <v>0</v>
      </c>
      <c r="AG7" s="14">
        <v>0</v>
      </c>
      <c r="AH7" s="8">
        <v>0</v>
      </c>
      <c r="AI7" s="8">
        <v>6000</v>
      </c>
      <c r="AJ7" s="8">
        <v>6000</v>
      </c>
      <c r="AK7" s="14">
        <v>6</v>
      </c>
      <c r="AL7" s="14">
        <v>0</v>
      </c>
      <c r="AM7" s="14">
        <v>0</v>
      </c>
      <c r="AN7" s="14">
        <v>0</v>
      </c>
      <c r="AO7" s="8">
        <v>0</v>
      </c>
      <c r="AP7" s="8">
        <v>6000</v>
      </c>
      <c r="AQ7" s="8">
        <v>6000</v>
      </c>
      <c r="AR7" s="14">
        <v>6</v>
      </c>
      <c r="AS7" s="14">
        <v>0</v>
      </c>
      <c r="AT7" s="14">
        <v>0</v>
      </c>
      <c r="AU7" s="14">
        <v>0</v>
      </c>
      <c r="AV7" s="8">
        <v>0</v>
      </c>
      <c r="AW7" s="8">
        <v>6000</v>
      </c>
      <c r="AX7" s="8">
        <v>6000</v>
      </c>
      <c r="AY7" s="14">
        <v>6</v>
      </c>
      <c r="AZ7" s="14">
        <v>48.42</v>
      </c>
      <c r="BA7" s="14">
        <v>0</v>
      </c>
      <c r="BB7" s="14">
        <v>0</v>
      </c>
      <c r="BC7" s="8">
        <v>0</v>
      </c>
      <c r="BD7" s="8">
        <v>6000</v>
      </c>
      <c r="BE7" s="8">
        <v>6000</v>
      </c>
      <c r="BF7" s="14">
        <v>6</v>
      </c>
      <c r="BG7" s="14">
        <v>0</v>
      </c>
      <c r="BH7" s="14">
        <v>0</v>
      </c>
      <c r="BI7" s="14">
        <v>0</v>
      </c>
      <c r="BJ7" s="8">
        <v>0</v>
      </c>
      <c r="BK7" s="8">
        <v>6000</v>
      </c>
      <c r="BL7" s="8">
        <v>6000</v>
      </c>
      <c r="BM7" s="14">
        <v>6</v>
      </c>
      <c r="BN7" s="14">
        <v>0</v>
      </c>
      <c r="BO7" s="14">
        <v>0</v>
      </c>
      <c r="BP7" s="8">
        <v>5000</v>
      </c>
      <c r="BQ7" s="8">
        <v>5000</v>
      </c>
      <c r="BR7" s="14">
        <v>5</v>
      </c>
      <c r="BS7" s="14">
        <v>0</v>
      </c>
      <c r="BT7" s="14">
        <v>0</v>
      </c>
      <c r="BU7" s="8">
        <v>6000</v>
      </c>
      <c r="BV7" s="8">
        <v>6000</v>
      </c>
      <c r="BW7" s="14">
        <v>6</v>
      </c>
      <c r="BX7" s="14">
        <v>0</v>
      </c>
      <c r="BY7" s="14">
        <v>0</v>
      </c>
      <c r="BZ7" s="8">
        <v>6000</v>
      </c>
      <c r="CA7" s="8">
        <v>6000</v>
      </c>
      <c r="CB7" s="14">
        <v>6</v>
      </c>
      <c r="CC7" s="14">
        <v>0</v>
      </c>
      <c r="CD7" s="14">
        <v>0</v>
      </c>
      <c r="CE7" s="8">
        <v>6000</v>
      </c>
      <c r="CF7" s="8">
        <v>6000</v>
      </c>
      <c r="CG7" s="14">
        <v>6</v>
      </c>
      <c r="CH7" s="14">
        <v>0</v>
      </c>
      <c r="CI7" s="14">
        <v>0</v>
      </c>
      <c r="CJ7" s="8">
        <v>6000</v>
      </c>
      <c r="CK7" s="8">
        <v>6000</v>
      </c>
      <c r="CL7" s="14">
        <v>6</v>
      </c>
      <c r="CM7" s="14">
        <v>0</v>
      </c>
      <c r="CN7" s="14">
        <v>0</v>
      </c>
      <c r="CO7" s="14">
        <v>0</v>
      </c>
      <c r="CP7" s="9">
        <v>69000</v>
      </c>
      <c r="CQ7" s="9">
        <v>69000</v>
      </c>
      <c r="CR7" s="14">
        <v>5.7</v>
      </c>
      <c r="CS7" s="14">
        <v>0</v>
      </c>
      <c r="CT7" s="14">
        <v>0</v>
      </c>
      <c r="CU7" s="14">
        <v>0</v>
      </c>
      <c r="CV7" s="8">
        <v>-69000</v>
      </c>
      <c r="CW7" s="8">
        <v>-69000</v>
      </c>
      <c r="CX7" s="14">
        <v>0</v>
      </c>
      <c r="CY7" s="14">
        <v>0</v>
      </c>
      <c r="CZ7" s="14">
        <v>0</v>
      </c>
      <c r="DA7" s="14">
        <v>0</v>
      </c>
      <c r="DB7" s="8">
        <v>69000</v>
      </c>
      <c r="DC7" s="8">
        <v>69000</v>
      </c>
    </row>
    <row r="8" spans="1:107">
      <c r="A8" s="4"/>
      <c r="B8" s="4"/>
      <c r="C8" s="5" t="s">
        <v>105</v>
      </c>
      <c r="D8" s="5" t="s">
        <v>106</v>
      </c>
      <c r="E8" s="5" t="s">
        <v>131</v>
      </c>
      <c r="F8" s="5" t="s">
        <v>132</v>
      </c>
      <c r="G8" s="5" t="s">
        <v>126</v>
      </c>
      <c r="H8" s="5">
        <v>36617006</v>
      </c>
      <c r="I8" s="5">
        <v>5842083202</v>
      </c>
      <c r="J8" s="5" t="s">
        <v>109</v>
      </c>
      <c r="K8" s="5" t="s">
        <v>133</v>
      </c>
      <c r="L8" s="5" t="s">
        <v>133</v>
      </c>
      <c r="M8" s="5" t="s">
        <v>111</v>
      </c>
      <c r="N8" s="5" t="s">
        <v>128</v>
      </c>
      <c r="O8" s="6" t="s">
        <v>113</v>
      </c>
      <c r="P8" s="6" t="s">
        <v>114</v>
      </c>
      <c r="Q8" s="7"/>
      <c r="R8" s="7"/>
      <c r="S8" s="8">
        <v>0</v>
      </c>
      <c r="T8" s="8">
        <v>0</v>
      </c>
      <c r="U8" s="8">
        <v>6000</v>
      </c>
      <c r="V8" s="8">
        <v>6000</v>
      </c>
      <c r="W8" s="8">
        <v>6</v>
      </c>
      <c r="X8" s="8">
        <v>0</v>
      </c>
      <c r="Y8" s="8">
        <v>0</v>
      </c>
      <c r="Z8" s="8">
        <v>0</v>
      </c>
      <c r="AA8" s="8">
        <v>0</v>
      </c>
      <c r="AB8" s="8">
        <v>6000</v>
      </c>
      <c r="AC8" s="8">
        <v>6000</v>
      </c>
      <c r="AD8" s="8">
        <v>6</v>
      </c>
      <c r="AE8" s="8">
        <v>0</v>
      </c>
      <c r="AF8" s="8">
        <v>0</v>
      </c>
      <c r="AG8" s="8">
        <v>0</v>
      </c>
      <c r="AH8" s="8">
        <v>0</v>
      </c>
      <c r="AI8" s="8">
        <v>6000</v>
      </c>
      <c r="AJ8" s="8">
        <v>6000</v>
      </c>
      <c r="AK8" s="8">
        <v>6</v>
      </c>
      <c r="AL8" s="8">
        <v>0</v>
      </c>
      <c r="AM8" s="8">
        <v>0</v>
      </c>
      <c r="AN8" s="8">
        <v>0</v>
      </c>
      <c r="AO8" s="8">
        <v>0</v>
      </c>
      <c r="AP8" s="8">
        <v>7000</v>
      </c>
      <c r="AQ8" s="8">
        <v>7000</v>
      </c>
      <c r="AR8" s="8">
        <v>7</v>
      </c>
      <c r="AS8" s="8">
        <v>0</v>
      </c>
      <c r="AT8" s="8">
        <v>0</v>
      </c>
      <c r="AU8" s="8">
        <v>0</v>
      </c>
      <c r="AV8" s="8">
        <v>0</v>
      </c>
      <c r="AW8" s="8">
        <v>7000</v>
      </c>
      <c r="AX8" s="8">
        <v>7000</v>
      </c>
      <c r="AY8" s="8">
        <v>7</v>
      </c>
      <c r="AZ8" s="8">
        <v>0</v>
      </c>
      <c r="BA8" s="8">
        <v>0</v>
      </c>
      <c r="BB8" s="8">
        <v>0</v>
      </c>
      <c r="BC8" s="8">
        <v>0</v>
      </c>
      <c r="BD8" s="8">
        <v>7000</v>
      </c>
      <c r="BE8" s="8">
        <v>7000</v>
      </c>
      <c r="BF8" s="8">
        <v>7</v>
      </c>
      <c r="BG8" s="8">
        <v>0</v>
      </c>
      <c r="BH8" s="8">
        <v>0</v>
      </c>
      <c r="BI8" s="8">
        <v>0</v>
      </c>
      <c r="BJ8" s="8">
        <v>0</v>
      </c>
      <c r="BK8" s="8">
        <v>7000</v>
      </c>
      <c r="BL8" s="8">
        <v>7000</v>
      </c>
      <c r="BM8" s="8">
        <v>7</v>
      </c>
      <c r="BN8" s="8">
        <v>0</v>
      </c>
      <c r="BO8" s="8">
        <v>0</v>
      </c>
      <c r="BP8" s="8">
        <v>7000</v>
      </c>
      <c r="BQ8" s="8">
        <v>7000</v>
      </c>
      <c r="BR8" s="8">
        <v>7</v>
      </c>
      <c r="BS8" s="8">
        <v>0</v>
      </c>
      <c r="BT8" s="8">
        <v>0</v>
      </c>
      <c r="BU8" s="8">
        <v>7000</v>
      </c>
      <c r="BV8" s="8">
        <v>7000</v>
      </c>
      <c r="BW8" s="8">
        <v>7</v>
      </c>
      <c r="BX8" s="8">
        <v>0</v>
      </c>
      <c r="BY8" s="8">
        <v>0</v>
      </c>
      <c r="BZ8" s="8">
        <v>7000</v>
      </c>
      <c r="CA8" s="8">
        <v>7000</v>
      </c>
      <c r="CB8" s="8">
        <v>7</v>
      </c>
      <c r="CC8" s="8">
        <v>0</v>
      </c>
      <c r="CD8" s="8">
        <v>0</v>
      </c>
      <c r="CE8" s="8">
        <v>7000</v>
      </c>
      <c r="CF8" s="8">
        <v>7000</v>
      </c>
      <c r="CG8" s="8">
        <v>7</v>
      </c>
      <c r="CH8" s="8">
        <v>0</v>
      </c>
      <c r="CI8" s="8">
        <v>0</v>
      </c>
      <c r="CJ8" s="8">
        <v>7000</v>
      </c>
      <c r="CK8" s="8">
        <v>7000</v>
      </c>
      <c r="CL8" s="8">
        <v>7</v>
      </c>
      <c r="CM8" s="8">
        <v>0</v>
      </c>
      <c r="CN8" s="8">
        <v>0</v>
      </c>
      <c r="CO8" s="8">
        <v>0</v>
      </c>
      <c r="CP8" s="9">
        <v>81000</v>
      </c>
      <c r="CQ8" s="9">
        <v>81000</v>
      </c>
      <c r="CR8" s="8">
        <v>6.8</v>
      </c>
      <c r="CS8" s="8">
        <v>0</v>
      </c>
      <c r="CT8" s="8">
        <v>0</v>
      </c>
      <c r="CU8" s="8">
        <v>0</v>
      </c>
      <c r="CV8" s="8">
        <v>-81000</v>
      </c>
      <c r="CW8" s="8">
        <v>-81000</v>
      </c>
      <c r="CX8" s="8">
        <v>0</v>
      </c>
      <c r="CY8" s="8">
        <v>0</v>
      </c>
      <c r="CZ8" s="8">
        <v>0</v>
      </c>
      <c r="DA8" s="8">
        <v>0</v>
      </c>
      <c r="DB8" s="8">
        <v>81000</v>
      </c>
      <c r="DC8" s="8">
        <v>81000</v>
      </c>
    </row>
    <row r="9" spans="1:107">
      <c r="A9" s="10"/>
      <c r="B9" s="10"/>
      <c r="C9" s="11" t="s">
        <v>105</v>
      </c>
      <c r="D9" s="11" t="s">
        <v>106</v>
      </c>
      <c r="E9" s="11" t="s">
        <v>134</v>
      </c>
      <c r="F9" s="11" t="s">
        <v>135</v>
      </c>
      <c r="G9" s="11" t="s">
        <v>126</v>
      </c>
      <c r="H9" s="11">
        <v>36617009</v>
      </c>
      <c r="I9" s="11">
        <v>5841993202</v>
      </c>
      <c r="J9" s="11" t="s">
        <v>109</v>
      </c>
      <c r="K9" s="11" t="s">
        <v>136</v>
      </c>
      <c r="L9" s="11" t="s">
        <v>136</v>
      </c>
      <c r="M9" s="11" t="s">
        <v>111</v>
      </c>
      <c r="N9" s="11" t="s">
        <v>128</v>
      </c>
      <c r="O9" s="12" t="s">
        <v>113</v>
      </c>
      <c r="P9" s="12" t="s">
        <v>114</v>
      </c>
      <c r="Q9" s="13"/>
      <c r="R9" s="13"/>
      <c r="S9" s="14">
        <v>0</v>
      </c>
      <c r="T9" s="14">
        <v>0</v>
      </c>
      <c r="U9" s="8">
        <v>7000</v>
      </c>
      <c r="V9" s="8">
        <v>7000</v>
      </c>
      <c r="W9" s="14">
        <v>7</v>
      </c>
      <c r="X9" s="14">
        <v>0</v>
      </c>
      <c r="Y9" s="14">
        <v>0</v>
      </c>
      <c r="Z9" s="14">
        <v>0</v>
      </c>
      <c r="AA9" s="14">
        <v>0</v>
      </c>
      <c r="AB9" s="8">
        <v>7000</v>
      </c>
      <c r="AC9" s="8">
        <v>7000</v>
      </c>
      <c r="AD9" s="14">
        <v>7</v>
      </c>
      <c r="AE9" s="14">
        <v>0</v>
      </c>
      <c r="AF9" s="14">
        <v>0</v>
      </c>
      <c r="AG9" s="14">
        <v>0</v>
      </c>
      <c r="AH9" s="8">
        <v>0</v>
      </c>
      <c r="AI9" s="8">
        <v>7000</v>
      </c>
      <c r="AJ9" s="8">
        <v>7000</v>
      </c>
      <c r="AK9" s="14">
        <v>7</v>
      </c>
      <c r="AL9" s="14">
        <v>0</v>
      </c>
      <c r="AM9" s="14">
        <v>0</v>
      </c>
      <c r="AN9" s="14">
        <v>0</v>
      </c>
      <c r="AO9" s="8">
        <v>0</v>
      </c>
      <c r="AP9" s="8">
        <v>7000</v>
      </c>
      <c r="AQ9" s="8">
        <v>7000</v>
      </c>
      <c r="AR9" s="14">
        <v>7</v>
      </c>
      <c r="AS9" s="14">
        <v>0</v>
      </c>
      <c r="AT9" s="14">
        <v>0</v>
      </c>
      <c r="AU9" s="14">
        <v>0</v>
      </c>
      <c r="AV9" s="8">
        <v>0</v>
      </c>
      <c r="AW9" s="8">
        <v>7000</v>
      </c>
      <c r="AX9" s="8">
        <v>7000</v>
      </c>
      <c r="AY9" s="14">
        <v>7</v>
      </c>
      <c r="AZ9" s="14">
        <v>0</v>
      </c>
      <c r="BA9" s="14">
        <v>0</v>
      </c>
      <c r="BB9" s="14">
        <v>0</v>
      </c>
      <c r="BC9" s="8">
        <v>0</v>
      </c>
      <c r="BD9" s="8">
        <v>7000</v>
      </c>
      <c r="BE9" s="8">
        <v>7000</v>
      </c>
      <c r="BF9" s="14">
        <v>7</v>
      </c>
      <c r="BG9" s="14">
        <v>0</v>
      </c>
      <c r="BH9" s="14">
        <v>0</v>
      </c>
      <c r="BI9" s="14">
        <v>0</v>
      </c>
      <c r="BJ9" s="8">
        <v>0</v>
      </c>
      <c r="BK9" s="8">
        <v>7000</v>
      </c>
      <c r="BL9" s="8">
        <v>7000</v>
      </c>
      <c r="BM9" s="14">
        <v>7</v>
      </c>
      <c r="BN9" s="14">
        <v>0</v>
      </c>
      <c r="BO9" s="14">
        <v>0</v>
      </c>
      <c r="BP9" s="8">
        <v>7000</v>
      </c>
      <c r="BQ9" s="8">
        <v>7000</v>
      </c>
      <c r="BR9" s="14">
        <v>7</v>
      </c>
      <c r="BS9" s="14">
        <v>0</v>
      </c>
      <c r="BT9" s="14">
        <v>0</v>
      </c>
      <c r="BU9" s="8">
        <v>7000</v>
      </c>
      <c r="BV9" s="8">
        <v>7000</v>
      </c>
      <c r="BW9" s="14">
        <v>7</v>
      </c>
      <c r="BX9" s="14">
        <v>0</v>
      </c>
      <c r="BY9" s="14">
        <v>0</v>
      </c>
      <c r="BZ9" s="8">
        <v>7000</v>
      </c>
      <c r="CA9" s="8">
        <v>7000</v>
      </c>
      <c r="CB9" s="14">
        <v>7</v>
      </c>
      <c r="CC9" s="14">
        <v>0</v>
      </c>
      <c r="CD9" s="14">
        <v>0</v>
      </c>
      <c r="CE9" s="8">
        <v>7000</v>
      </c>
      <c r="CF9" s="8">
        <v>7000</v>
      </c>
      <c r="CG9" s="14">
        <v>7</v>
      </c>
      <c r="CH9" s="14">
        <v>0</v>
      </c>
      <c r="CI9" s="14">
        <v>0</v>
      </c>
      <c r="CJ9" s="8">
        <v>7000</v>
      </c>
      <c r="CK9" s="8">
        <v>7000</v>
      </c>
      <c r="CL9" s="14">
        <v>7</v>
      </c>
      <c r="CM9" s="14">
        <v>0</v>
      </c>
      <c r="CN9" s="14">
        <v>0</v>
      </c>
      <c r="CO9" s="14">
        <v>0</v>
      </c>
      <c r="CP9" s="9">
        <v>84000</v>
      </c>
      <c r="CQ9" s="9">
        <v>84000</v>
      </c>
      <c r="CR9" s="14">
        <v>7.1</v>
      </c>
      <c r="CS9" s="14">
        <v>0</v>
      </c>
      <c r="CT9" s="14">
        <v>0</v>
      </c>
      <c r="CU9" s="14">
        <v>0</v>
      </c>
      <c r="CV9" s="8">
        <v>-84000</v>
      </c>
      <c r="CW9" s="8">
        <v>-84000</v>
      </c>
      <c r="CX9" s="14">
        <v>0</v>
      </c>
      <c r="CY9" s="14">
        <v>0</v>
      </c>
      <c r="CZ9" s="14">
        <v>0</v>
      </c>
      <c r="DA9" s="14">
        <v>0</v>
      </c>
      <c r="DB9" s="8">
        <v>84000</v>
      </c>
      <c r="DC9" s="8">
        <v>84000</v>
      </c>
    </row>
    <row r="10" spans="1:107">
      <c r="A10" s="4"/>
      <c r="B10" s="4"/>
      <c r="C10" s="5" t="s">
        <v>105</v>
      </c>
      <c r="D10" s="5" t="s">
        <v>106</v>
      </c>
      <c r="E10" s="5" t="s">
        <v>134</v>
      </c>
      <c r="F10" s="5" t="s">
        <v>137</v>
      </c>
      <c r="G10" s="5"/>
      <c r="H10" s="5">
        <v>370316</v>
      </c>
      <c r="I10" s="5">
        <v>5841813202</v>
      </c>
      <c r="J10" s="5" t="s">
        <v>109</v>
      </c>
      <c r="K10" s="5" t="s">
        <v>138</v>
      </c>
      <c r="L10" s="5" t="s">
        <v>138</v>
      </c>
      <c r="M10" s="5" t="s">
        <v>111</v>
      </c>
      <c r="N10" s="5" t="s">
        <v>112</v>
      </c>
      <c r="O10" s="6" t="s">
        <v>113</v>
      </c>
      <c r="P10" s="6" t="s">
        <v>114</v>
      </c>
      <c r="Q10" s="7"/>
      <c r="R10" s="7"/>
      <c r="S10" s="8">
        <v>0</v>
      </c>
      <c r="T10" s="8">
        <v>0</v>
      </c>
      <c r="U10" s="8">
        <v>4000</v>
      </c>
      <c r="V10" s="8">
        <v>4000</v>
      </c>
      <c r="W10" s="8">
        <v>4</v>
      </c>
      <c r="X10" s="8">
        <v>0</v>
      </c>
      <c r="Y10" s="8">
        <v>0</v>
      </c>
      <c r="Z10" s="8">
        <v>0</v>
      </c>
      <c r="AA10" s="8">
        <v>0</v>
      </c>
      <c r="AB10" s="8">
        <v>4000</v>
      </c>
      <c r="AC10" s="8">
        <v>4000</v>
      </c>
      <c r="AD10" s="8">
        <v>4</v>
      </c>
      <c r="AE10" s="8">
        <v>0</v>
      </c>
      <c r="AF10" s="8">
        <v>0</v>
      </c>
      <c r="AG10" s="8">
        <v>0</v>
      </c>
      <c r="AH10" s="8">
        <v>0</v>
      </c>
      <c r="AI10" s="8">
        <v>4000</v>
      </c>
      <c r="AJ10" s="8">
        <v>4000</v>
      </c>
      <c r="AK10" s="8">
        <v>4</v>
      </c>
      <c r="AL10" s="8">
        <v>0</v>
      </c>
      <c r="AM10" s="8">
        <v>0</v>
      </c>
      <c r="AN10" s="8">
        <v>0</v>
      </c>
      <c r="AO10" s="8">
        <v>0</v>
      </c>
      <c r="AP10" s="8">
        <v>4000</v>
      </c>
      <c r="AQ10" s="8">
        <v>4000</v>
      </c>
      <c r="AR10" s="8">
        <v>4</v>
      </c>
      <c r="AS10" s="8">
        <v>0</v>
      </c>
      <c r="AT10" s="8">
        <v>0</v>
      </c>
      <c r="AU10" s="8">
        <v>0</v>
      </c>
      <c r="AV10" s="8">
        <v>0</v>
      </c>
      <c r="AW10" s="8">
        <v>4000</v>
      </c>
      <c r="AX10" s="8">
        <v>4000</v>
      </c>
      <c r="AY10" s="8">
        <v>4</v>
      </c>
      <c r="AZ10" s="8">
        <v>0</v>
      </c>
      <c r="BA10" s="8">
        <v>0</v>
      </c>
      <c r="BB10" s="8">
        <v>0</v>
      </c>
      <c r="BC10" s="8">
        <v>0</v>
      </c>
      <c r="BD10" s="8">
        <v>4000</v>
      </c>
      <c r="BE10" s="8">
        <v>4000</v>
      </c>
      <c r="BF10" s="8">
        <v>4</v>
      </c>
      <c r="BG10" s="8">
        <v>0</v>
      </c>
      <c r="BH10" s="8">
        <v>0</v>
      </c>
      <c r="BI10" s="8">
        <v>0</v>
      </c>
      <c r="BJ10" s="8">
        <v>0</v>
      </c>
      <c r="BK10" s="8">
        <v>4000</v>
      </c>
      <c r="BL10" s="8">
        <v>4000</v>
      </c>
      <c r="BM10" s="8">
        <v>4</v>
      </c>
      <c r="BN10" s="8">
        <v>0</v>
      </c>
      <c r="BO10" s="8">
        <v>0</v>
      </c>
      <c r="BP10" s="8">
        <v>4000</v>
      </c>
      <c r="BQ10" s="8">
        <v>4000</v>
      </c>
      <c r="BR10" s="8">
        <v>4</v>
      </c>
      <c r="BS10" s="8">
        <v>0</v>
      </c>
      <c r="BT10" s="8">
        <v>0</v>
      </c>
      <c r="BU10" s="8">
        <v>4000</v>
      </c>
      <c r="BV10" s="8">
        <v>4000</v>
      </c>
      <c r="BW10" s="8">
        <v>4</v>
      </c>
      <c r="BX10" s="8">
        <v>0</v>
      </c>
      <c r="BY10" s="8">
        <v>0</v>
      </c>
      <c r="BZ10" s="8">
        <v>4000</v>
      </c>
      <c r="CA10" s="8">
        <v>4000</v>
      </c>
      <c r="CB10" s="8">
        <v>4</v>
      </c>
      <c r="CC10" s="8">
        <v>0</v>
      </c>
      <c r="CD10" s="8">
        <v>0</v>
      </c>
      <c r="CE10" s="8">
        <v>4000</v>
      </c>
      <c r="CF10" s="8">
        <v>4000</v>
      </c>
      <c r="CG10" s="8">
        <v>4</v>
      </c>
      <c r="CH10" s="8">
        <v>0</v>
      </c>
      <c r="CI10" s="8">
        <v>0</v>
      </c>
      <c r="CJ10" s="8">
        <v>4000</v>
      </c>
      <c r="CK10" s="8">
        <v>4000</v>
      </c>
      <c r="CL10" s="8">
        <v>4</v>
      </c>
      <c r="CM10" s="8">
        <v>0</v>
      </c>
      <c r="CN10" s="8">
        <v>0</v>
      </c>
      <c r="CO10" s="8">
        <v>0</v>
      </c>
      <c r="CP10" s="9">
        <v>48000</v>
      </c>
      <c r="CQ10" s="9">
        <v>48000</v>
      </c>
      <c r="CR10" s="8">
        <v>4</v>
      </c>
      <c r="CS10" s="8">
        <v>0</v>
      </c>
      <c r="CT10" s="8">
        <v>0</v>
      </c>
      <c r="CU10" s="8">
        <v>0</v>
      </c>
      <c r="CV10" s="8">
        <v>-48000</v>
      </c>
      <c r="CW10" s="8">
        <v>-48000</v>
      </c>
      <c r="CX10" s="8">
        <v>0</v>
      </c>
      <c r="CY10" s="8">
        <v>0</v>
      </c>
      <c r="CZ10" s="8">
        <v>0</v>
      </c>
      <c r="DA10" s="8">
        <v>0</v>
      </c>
      <c r="DB10" s="8">
        <v>48000</v>
      </c>
      <c r="DC10" s="8">
        <v>48000</v>
      </c>
    </row>
    <row r="11" spans="1:107">
      <c r="A11" s="10"/>
      <c r="B11" s="10"/>
      <c r="C11" s="11" t="s">
        <v>105</v>
      </c>
      <c r="D11" s="11" t="s">
        <v>106</v>
      </c>
      <c r="E11" s="11" t="s">
        <v>139</v>
      </c>
      <c r="F11" s="11" t="s">
        <v>140</v>
      </c>
      <c r="G11" s="11"/>
      <c r="H11" s="11">
        <v>375725</v>
      </c>
      <c r="I11" s="11">
        <v>5841813202</v>
      </c>
      <c r="J11" s="11" t="s">
        <v>109</v>
      </c>
      <c r="K11" s="11" t="s">
        <v>141</v>
      </c>
      <c r="L11" s="11" t="s">
        <v>141</v>
      </c>
      <c r="M11" s="11" t="s">
        <v>111</v>
      </c>
      <c r="N11" s="11" t="s">
        <v>112</v>
      </c>
      <c r="O11" s="12" t="s">
        <v>113</v>
      </c>
      <c r="P11" s="12"/>
      <c r="Q11" s="13"/>
      <c r="R11" s="13"/>
      <c r="S11" s="14">
        <v>0</v>
      </c>
      <c r="T11" s="14">
        <v>0</v>
      </c>
      <c r="U11" s="8">
        <v>5000</v>
      </c>
      <c r="V11" s="8">
        <v>5000</v>
      </c>
      <c r="W11" s="14">
        <v>5</v>
      </c>
      <c r="X11" s="14">
        <v>0</v>
      </c>
      <c r="Y11" s="14">
        <v>0</v>
      </c>
      <c r="Z11" s="14">
        <v>0</v>
      </c>
      <c r="AA11" s="14">
        <v>0</v>
      </c>
      <c r="AB11" s="8">
        <v>5000</v>
      </c>
      <c r="AC11" s="8">
        <v>5000</v>
      </c>
      <c r="AD11" s="14">
        <v>5</v>
      </c>
      <c r="AE11" s="14">
        <v>0</v>
      </c>
      <c r="AF11" s="14">
        <v>0</v>
      </c>
      <c r="AG11" s="14">
        <v>0</v>
      </c>
      <c r="AH11" s="8">
        <v>0</v>
      </c>
      <c r="AI11" s="8">
        <v>5000</v>
      </c>
      <c r="AJ11" s="8">
        <v>5000</v>
      </c>
      <c r="AK11" s="14">
        <v>5</v>
      </c>
      <c r="AL11" s="14">
        <v>0</v>
      </c>
      <c r="AM11" s="14">
        <v>0</v>
      </c>
      <c r="AN11" s="14">
        <v>0</v>
      </c>
      <c r="AO11" s="8">
        <v>0</v>
      </c>
      <c r="AP11" s="8">
        <v>5000</v>
      </c>
      <c r="AQ11" s="8">
        <v>5000</v>
      </c>
      <c r="AR11" s="14">
        <v>5</v>
      </c>
      <c r="AS11" s="14">
        <v>0</v>
      </c>
      <c r="AT11" s="14">
        <v>0</v>
      </c>
      <c r="AU11" s="14">
        <v>0</v>
      </c>
      <c r="AV11" s="8">
        <v>0</v>
      </c>
      <c r="AW11" s="8">
        <v>5000</v>
      </c>
      <c r="AX11" s="8">
        <v>5000</v>
      </c>
      <c r="AY11" s="14">
        <v>5</v>
      </c>
      <c r="AZ11" s="14">
        <v>0</v>
      </c>
      <c r="BA11" s="14">
        <v>0</v>
      </c>
      <c r="BB11" s="14">
        <v>0</v>
      </c>
      <c r="BC11" s="8">
        <v>0</v>
      </c>
      <c r="BD11" s="8">
        <v>5000</v>
      </c>
      <c r="BE11" s="8">
        <v>5000</v>
      </c>
      <c r="BF11" s="14">
        <v>5</v>
      </c>
      <c r="BG11" s="14">
        <v>0</v>
      </c>
      <c r="BH11" s="14">
        <v>0</v>
      </c>
      <c r="BI11" s="14">
        <v>0</v>
      </c>
      <c r="BJ11" s="8">
        <v>0</v>
      </c>
      <c r="BK11" s="8">
        <v>5000</v>
      </c>
      <c r="BL11" s="8">
        <v>5000</v>
      </c>
      <c r="BM11" s="14">
        <v>5</v>
      </c>
      <c r="BN11" s="14">
        <v>0</v>
      </c>
      <c r="BO11" s="14">
        <v>0</v>
      </c>
      <c r="BP11" s="8">
        <v>5000</v>
      </c>
      <c r="BQ11" s="8">
        <v>5000</v>
      </c>
      <c r="BR11" s="14">
        <v>5</v>
      </c>
      <c r="BS11" s="14">
        <v>0</v>
      </c>
      <c r="BT11" s="14">
        <v>0</v>
      </c>
      <c r="BU11" s="8">
        <v>5000</v>
      </c>
      <c r="BV11" s="8">
        <v>5000</v>
      </c>
      <c r="BW11" s="14">
        <v>5</v>
      </c>
      <c r="BX11" s="14">
        <v>0</v>
      </c>
      <c r="BY11" s="14">
        <v>0</v>
      </c>
      <c r="BZ11" s="8">
        <v>5000</v>
      </c>
      <c r="CA11" s="8">
        <v>5000</v>
      </c>
      <c r="CB11" s="14">
        <v>5</v>
      </c>
      <c r="CC11" s="14">
        <v>0</v>
      </c>
      <c r="CD11" s="14">
        <v>0</v>
      </c>
      <c r="CE11" s="8">
        <v>5000</v>
      </c>
      <c r="CF11" s="8">
        <v>5000</v>
      </c>
      <c r="CG11" s="14">
        <v>5</v>
      </c>
      <c r="CH11" s="14">
        <v>0</v>
      </c>
      <c r="CI11" s="14">
        <v>0</v>
      </c>
      <c r="CJ11" s="8">
        <v>5000</v>
      </c>
      <c r="CK11" s="8">
        <v>5000</v>
      </c>
      <c r="CL11" s="14">
        <v>5</v>
      </c>
      <c r="CM11" s="14">
        <v>0</v>
      </c>
      <c r="CN11" s="14">
        <v>0</v>
      </c>
      <c r="CO11" s="14">
        <v>0</v>
      </c>
      <c r="CP11" s="9">
        <v>60000</v>
      </c>
      <c r="CQ11" s="9">
        <v>60000</v>
      </c>
      <c r="CR11" s="14">
        <v>5</v>
      </c>
      <c r="CS11" s="14">
        <v>0</v>
      </c>
      <c r="CT11" s="14">
        <v>0</v>
      </c>
      <c r="CU11" s="14">
        <v>0</v>
      </c>
      <c r="CV11" s="8">
        <v>-60000</v>
      </c>
      <c r="CW11" s="8">
        <v>-60000</v>
      </c>
      <c r="CX11" s="14">
        <v>0</v>
      </c>
      <c r="CY11" s="14">
        <v>0</v>
      </c>
      <c r="CZ11" s="14">
        <v>0</v>
      </c>
      <c r="DA11" s="14">
        <v>0</v>
      </c>
      <c r="DB11" s="8">
        <v>60000</v>
      </c>
      <c r="DC11" s="8">
        <v>60000</v>
      </c>
    </row>
    <row r="12" spans="1:107">
      <c r="A12" s="4"/>
      <c r="B12" s="4"/>
      <c r="C12" s="5" t="s">
        <v>105</v>
      </c>
      <c r="D12" s="5" t="s">
        <v>106</v>
      </c>
      <c r="E12" s="5" t="s">
        <v>142</v>
      </c>
      <c r="F12" s="5" t="s">
        <v>143</v>
      </c>
      <c r="G12" s="5"/>
      <c r="H12" s="5">
        <v>375953</v>
      </c>
      <c r="I12" s="5">
        <v>5841813202</v>
      </c>
      <c r="J12" s="5" t="s">
        <v>109</v>
      </c>
      <c r="K12" s="5" t="s">
        <v>144</v>
      </c>
      <c r="L12" s="5" t="s">
        <v>144</v>
      </c>
      <c r="M12" s="5" t="s">
        <v>111</v>
      </c>
      <c r="N12" s="5" t="s">
        <v>112</v>
      </c>
      <c r="O12" s="6" t="s">
        <v>113</v>
      </c>
      <c r="P12" s="6"/>
      <c r="Q12" s="7"/>
      <c r="R12" s="7"/>
      <c r="S12" s="8">
        <v>0</v>
      </c>
      <c r="T12" s="8">
        <v>0</v>
      </c>
      <c r="U12" s="8">
        <v>4000</v>
      </c>
      <c r="V12" s="8">
        <v>4000</v>
      </c>
      <c r="W12" s="8">
        <v>4</v>
      </c>
      <c r="X12" s="8">
        <v>0</v>
      </c>
      <c r="Y12" s="8">
        <v>0</v>
      </c>
      <c r="Z12" s="8">
        <v>0</v>
      </c>
      <c r="AA12" s="8">
        <v>0</v>
      </c>
      <c r="AB12" s="8">
        <v>4000</v>
      </c>
      <c r="AC12" s="8">
        <v>4000</v>
      </c>
      <c r="AD12" s="8">
        <v>4</v>
      </c>
      <c r="AE12" s="8">
        <v>0</v>
      </c>
      <c r="AF12" s="8">
        <v>0</v>
      </c>
      <c r="AG12" s="8">
        <v>0</v>
      </c>
      <c r="AH12" s="8">
        <v>0</v>
      </c>
      <c r="AI12" s="8">
        <v>4000</v>
      </c>
      <c r="AJ12" s="8">
        <v>4000</v>
      </c>
      <c r="AK12" s="8">
        <v>4</v>
      </c>
      <c r="AL12" s="8">
        <v>0</v>
      </c>
      <c r="AM12" s="8">
        <v>0</v>
      </c>
      <c r="AN12" s="8">
        <v>0</v>
      </c>
      <c r="AO12" s="8">
        <v>0</v>
      </c>
      <c r="AP12" s="8">
        <v>4000</v>
      </c>
      <c r="AQ12" s="8">
        <v>4000</v>
      </c>
      <c r="AR12" s="8">
        <v>4</v>
      </c>
      <c r="AS12" s="8">
        <v>0</v>
      </c>
      <c r="AT12" s="8">
        <v>0</v>
      </c>
      <c r="AU12" s="8">
        <v>0</v>
      </c>
      <c r="AV12" s="8">
        <v>0</v>
      </c>
      <c r="AW12" s="8">
        <v>4000</v>
      </c>
      <c r="AX12" s="8">
        <v>4000</v>
      </c>
      <c r="AY12" s="8">
        <v>4</v>
      </c>
      <c r="AZ12" s="8">
        <v>68.319999999999993</v>
      </c>
      <c r="BA12" s="8">
        <v>0</v>
      </c>
      <c r="BB12" s="8">
        <v>0</v>
      </c>
      <c r="BC12" s="8">
        <v>0</v>
      </c>
      <c r="BD12" s="8">
        <v>4000</v>
      </c>
      <c r="BE12" s="8">
        <v>4000</v>
      </c>
      <c r="BF12" s="8">
        <v>4</v>
      </c>
      <c r="BG12" s="8">
        <v>0</v>
      </c>
      <c r="BH12" s="8">
        <v>0</v>
      </c>
      <c r="BI12" s="8">
        <v>0</v>
      </c>
      <c r="BJ12" s="8">
        <v>0</v>
      </c>
      <c r="BK12" s="8">
        <v>4000</v>
      </c>
      <c r="BL12" s="8">
        <v>4000</v>
      </c>
      <c r="BM12" s="8">
        <v>4</v>
      </c>
      <c r="BN12" s="8">
        <v>0</v>
      </c>
      <c r="BO12" s="8">
        <v>0</v>
      </c>
      <c r="BP12" s="8">
        <v>4000</v>
      </c>
      <c r="BQ12" s="8">
        <v>4000</v>
      </c>
      <c r="BR12" s="8">
        <v>4</v>
      </c>
      <c r="BS12" s="8">
        <v>0</v>
      </c>
      <c r="BT12" s="8">
        <v>0</v>
      </c>
      <c r="BU12" s="8">
        <v>4000</v>
      </c>
      <c r="BV12" s="8">
        <v>4000</v>
      </c>
      <c r="BW12" s="8">
        <v>4</v>
      </c>
      <c r="BX12" s="8">
        <v>0</v>
      </c>
      <c r="BY12" s="8">
        <v>0</v>
      </c>
      <c r="BZ12" s="8">
        <v>4000</v>
      </c>
      <c r="CA12" s="8">
        <v>4000</v>
      </c>
      <c r="CB12" s="8">
        <v>4</v>
      </c>
      <c r="CC12" s="8">
        <v>0</v>
      </c>
      <c r="CD12" s="8">
        <v>0</v>
      </c>
      <c r="CE12" s="8">
        <v>4000</v>
      </c>
      <c r="CF12" s="8">
        <v>4000</v>
      </c>
      <c r="CG12" s="8">
        <v>4</v>
      </c>
      <c r="CH12" s="8">
        <v>0</v>
      </c>
      <c r="CI12" s="8">
        <v>0</v>
      </c>
      <c r="CJ12" s="8">
        <v>4000</v>
      </c>
      <c r="CK12" s="8">
        <v>4000</v>
      </c>
      <c r="CL12" s="8">
        <v>4</v>
      </c>
      <c r="CM12" s="8">
        <v>0</v>
      </c>
      <c r="CN12" s="8">
        <v>0</v>
      </c>
      <c r="CO12" s="8">
        <v>0</v>
      </c>
      <c r="CP12" s="9">
        <v>48000</v>
      </c>
      <c r="CQ12" s="9">
        <v>48000</v>
      </c>
      <c r="CR12" s="8">
        <v>4</v>
      </c>
      <c r="CS12" s="8">
        <v>0</v>
      </c>
      <c r="CT12" s="8">
        <v>0</v>
      </c>
      <c r="CU12" s="8">
        <v>0</v>
      </c>
      <c r="CV12" s="8">
        <v>-48000</v>
      </c>
      <c r="CW12" s="8">
        <v>-48000</v>
      </c>
      <c r="CX12" s="8">
        <v>0</v>
      </c>
      <c r="CY12" s="8">
        <v>0</v>
      </c>
      <c r="CZ12" s="8">
        <v>0</v>
      </c>
      <c r="DA12" s="8">
        <v>0</v>
      </c>
      <c r="DB12" s="8">
        <v>48000</v>
      </c>
      <c r="DC12" s="8">
        <v>48000</v>
      </c>
    </row>
    <row r="13" spans="1:107">
      <c r="A13" s="10"/>
      <c r="B13" s="10"/>
      <c r="C13" s="11" t="s">
        <v>105</v>
      </c>
      <c r="D13" s="11" t="s">
        <v>106</v>
      </c>
      <c r="E13" s="11" t="s">
        <v>145</v>
      </c>
      <c r="F13" s="11" t="s">
        <v>146</v>
      </c>
      <c r="G13" s="11" t="s">
        <v>126</v>
      </c>
      <c r="H13" s="11">
        <v>38617002</v>
      </c>
      <c r="I13" s="11">
        <v>5842283202</v>
      </c>
      <c r="J13" s="11" t="s">
        <v>109</v>
      </c>
      <c r="K13" s="11" t="s">
        <v>147</v>
      </c>
      <c r="L13" s="11" t="s">
        <v>147</v>
      </c>
      <c r="M13" s="11" t="s">
        <v>111</v>
      </c>
      <c r="N13" s="11" t="s">
        <v>128</v>
      </c>
      <c r="O13" s="12" t="s">
        <v>113</v>
      </c>
      <c r="P13" s="12" t="s">
        <v>114</v>
      </c>
      <c r="Q13" s="13"/>
      <c r="R13" s="13"/>
      <c r="S13" s="14">
        <v>0</v>
      </c>
      <c r="T13" s="14">
        <v>0</v>
      </c>
      <c r="U13" s="8">
        <v>6000</v>
      </c>
      <c r="V13" s="8">
        <v>6000</v>
      </c>
      <c r="W13" s="14">
        <v>6</v>
      </c>
      <c r="X13" s="14">
        <v>0</v>
      </c>
      <c r="Y13" s="14">
        <v>0</v>
      </c>
      <c r="Z13" s="14">
        <v>0</v>
      </c>
      <c r="AA13" s="14">
        <v>0</v>
      </c>
      <c r="AB13" s="8">
        <v>6000</v>
      </c>
      <c r="AC13" s="8">
        <v>6000</v>
      </c>
      <c r="AD13" s="14">
        <v>6</v>
      </c>
      <c r="AE13" s="14">
        <v>0</v>
      </c>
      <c r="AF13" s="14">
        <v>0</v>
      </c>
      <c r="AG13" s="14">
        <v>0</v>
      </c>
      <c r="AH13" s="8">
        <v>0</v>
      </c>
      <c r="AI13" s="8">
        <v>5000</v>
      </c>
      <c r="AJ13" s="8">
        <v>5000</v>
      </c>
      <c r="AK13" s="14">
        <v>5</v>
      </c>
      <c r="AL13" s="14">
        <v>0</v>
      </c>
      <c r="AM13" s="14">
        <v>0</v>
      </c>
      <c r="AN13" s="14">
        <v>0</v>
      </c>
      <c r="AO13" s="8">
        <v>0</v>
      </c>
      <c r="AP13" s="8">
        <v>8000</v>
      </c>
      <c r="AQ13" s="8">
        <v>8000</v>
      </c>
      <c r="AR13" s="14">
        <v>8</v>
      </c>
      <c r="AS13" s="14">
        <v>0</v>
      </c>
      <c r="AT13" s="14">
        <v>0</v>
      </c>
      <c r="AU13" s="14">
        <v>0</v>
      </c>
      <c r="AV13" s="8">
        <v>0</v>
      </c>
      <c r="AW13" s="8">
        <v>8000</v>
      </c>
      <c r="AX13" s="8">
        <v>8000</v>
      </c>
      <c r="AY13" s="14">
        <v>8</v>
      </c>
      <c r="AZ13" s="14">
        <v>0</v>
      </c>
      <c r="BA13" s="14">
        <v>0</v>
      </c>
      <c r="BB13" s="14">
        <v>0</v>
      </c>
      <c r="BC13" s="8">
        <v>0</v>
      </c>
      <c r="BD13" s="8">
        <v>8000</v>
      </c>
      <c r="BE13" s="8">
        <v>8000</v>
      </c>
      <c r="BF13" s="14">
        <v>8</v>
      </c>
      <c r="BG13" s="14">
        <v>0</v>
      </c>
      <c r="BH13" s="14">
        <v>0</v>
      </c>
      <c r="BI13" s="14">
        <v>0</v>
      </c>
      <c r="BJ13" s="8">
        <v>0</v>
      </c>
      <c r="BK13" s="8">
        <v>8000</v>
      </c>
      <c r="BL13" s="8">
        <v>8000</v>
      </c>
      <c r="BM13" s="14">
        <v>8</v>
      </c>
      <c r="BN13" s="14">
        <v>0</v>
      </c>
      <c r="BO13" s="14">
        <v>0</v>
      </c>
      <c r="BP13" s="8">
        <v>8000</v>
      </c>
      <c r="BQ13" s="8">
        <v>8000</v>
      </c>
      <c r="BR13" s="14">
        <v>8</v>
      </c>
      <c r="BS13" s="14">
        <v>0</v>
      </c>
      <c r="BT13" s="14">
        <v>0</v>
      </c>
      <c r="BU13" s="8">
        <v>8000</v>
      </c>
      <c r="BV13" s="8">
        <v>8000</v>
      </c>
      <c r="BW13" s="14">
        <v>8</v>
      </c>
      <c r="BX13" s="14">
        <v>0</v>
      </c>
      <c r="BY13" s="14">
        <v>0</v>
      </c>
      <c r="BZ13" s="8">
        <v>8000</v>
      </c>
      <c r="CA13" s="8">
        <v>8000</v>
      </c>
      <c r="CB13" s="14">
        <v>8</v>
      </c>
      <c r="CC13" s="14">
        <v>0</v>
      </c>
      <c r="CD13" s="14">
        <v>0</v>
      </c>
      <c r="CE13" s="8">
        <v>8000</v>
      </c>
      <c r="CF13" s="8">
        <v>8000</v>
      </c>
      <c r="CG13" s="14">
        <v>8</v>
      </c>
      <c r="CH13" s="14">
        <v>0</v>
      </c>
      <c r="CI13" s="14">
        <v>0</v>
      </c>
      <c r="CJ13" s="8">
        <v>8000</v>
      </c>
      <c r="CK13" s="8">
        <v>8000</v>
      </c>
      <c r="CL13" s="14">
        <v>8</v>
      </c>
      <c r="CM13" s="14">
        <v>0</v>
      </c>
      <c r="CN13" s="14">
        <v>0</v>
      </c>
      <c r="CO13" s="14">
        <v>0</v>
      </c>
      <c r="CP13" s="9">
        <v>89000</v>
      </c>
      <c r="CQ13" s="9">
        <v>89000</v>
      </c>
      <c r="CR13" s="14">
        <v>7.4</v>
      </c>
      <c r="CS13" s="14">
        <v>0</v>
      </c>
      <c r="CT13" s="14">
        <v>0</v>
      </c>
      <c r="CU13" s="14">
        <v>0</v>
      </c>
      <c r="CV13" s="8">
        <v>-89000</v>
      </c>
      <c r="CW13" s="8">
        <v>-89000</v>
      </c>
      <c r="CX13" s="14">
        <v>0</v>
      </c>
      <c r="CY13" s="14">
        <v>0</v>
      </c>
      <c r="CZ13" s="14">
        <v>0</v>
      </c>
      <c r="DA13" s="14">
        <v>0</v>
      </c>
      <c r="DB13" s="8">
        <v>89000</v>
      </c>
      <c r="DC13" s="8">
        <v>89000</v>
      </c>
    </row>
    <row r="14" spans="1:107">
      <c r="A14" s="4"/>
      <c r="B14" s="4"/>
      <c r="C14" s="5" t="s">
        <v>105</v>
      </c>
      <c r="D14" s="5" t="s">
        <v>106</v>
      </c>
      <c r="E14" s="5" t="s">
        <v>148</v>
      </c>
      <c r="F14" s="5" t="s">
        <v>149</v>
      </c>
      <c r="G14" s="5"/>
      <c r="H14" s="5">
        <v>38617004</v>
      </c>
      <c r="I14" s="5">
        <v>5841813202</v>
      </c>
      <c r="J14" s="5" t="s">
        <v>109</v>
      </c>
      <c r="K14" s="5" t="s">
        <v>150</v>
      </c>
      <c r="L14" s="5" t="s">
        <v>150</v>
      </c>
      <c r="M14" s="5" t="s">
        <v>111</v>
      </c>
      <c r="N14" s="5" t="s">
        <v>128</v>
      </c>
      <c r="O14" s="6" t="s">
        <v>113</v>
      </c>
      <c r="P14" s="6" t="s">
        <v>114</v>
      </c>
      <c r="Q14" s="7"/>
      <c r="R14" s="7"/>
      <c r="S14" s="8">
        <v>0</v>
      </c>
      <c r="T14" s="8">
        <v>0</v>
      </c>
      <c r="U14" s="8">
        <v>4000</v>
      </c>
      <c r="V14" s="8">
        <v>4000</v>
      </c>
      <c r="W14" s="8">
        <v>4</v>
      </c>
      <c r="X14" s="8">
        <v>0</v>
      </c>
      <c r="Y14" s="8">
        <v>0</v>
      </c>
      <c r="Z14" s="8">
        <v>0</v>
      </c>
      <c r="AA14" s="8">
        <v>0</v>
      </c>
      <c r="AB14" s="8">
        <v>7000</v>
      </c>
      <c r="AC14" s="8">
        <v>7000</v>
      </c>
      <c r="AD14" s="8">
        <v>7</v>
      </c>
      <c r="AE14" s="8">
        <v>0</v>
      </c>
      <c r="AF14" s="8">
        <v>0</v>
      </c>
      <c r="AG14" s="8">
        <v>0</v>
      </c>
      <c r="AH14" s="8">
        <v>0</v>
      </c>
      <c r="AI14" s="8">
        <v>6000</v>
      </c>
      <c r="AJ14" s="8">
        <v>6000</v>
      </c>
      <c r="AK14" s="8">
        <v>6</v>
      </c>
      <c r="AL14" s="8">
        <v>0</v>
      </c>
      <c r="AM14" s="8">
        <v>0</v>
      </c>
      <c r="AN14" s="8">
        <v>0</v>
      </c>
      <c r="AO14" s="8">
        <v>0</v>
      </c>
      <c r="AP14" s="8">
        <v>6000</v>
      </c>
      <c r="AQ14" s="8">
        <v>6000</v>
      </c>
      <c r="AR14" s="8">
        <v>6</v>
      </c>
      <c r="AS14" s="8">
        <v>0</v>
      </c>
      <c r="AT14" s="8">
        <v>0</v>
      </c>
      <c r="AU14" s="8">
        <v>0</v>
      </c>
      <c r="AV14" s="8">
        <v>0</v>
      </c>
      <c r="AW14" s="8">
        <v>6000</v>
      </c>
      <c r="AX14" s="8">
        <v>6000</v>
      </c>
      <c r="AY14" s="8">
        <v>6</v>
      </c>
      <c r="AZ14" s="8">
        <v>0</v>
      </c>
      <c r="BA14" s="8">
        <v>0</v>
      </c>
      <c r="BB14" s="8">
        <v>0</v>
      </c>
      <c r="BC14" s="8">
        <v>0</v>
      </c>
      <c r="BD14" s="8">
        <v>8000</v>
      </c>
      <c r="BE14" s="8">
        <v>8000</v>
      </c>
      <c r="BF14" s="8">
        <v>8</v>
      </c>
      <c r="BG14" s="8">
        <v>0</v>
      </c>
      <c r="BH14" s="8">
        <v>0</v>
      </c>
      <c r="BI14" s="8">
        <v>0</v>
      </c>
      <c r="BJ14" s="8">
        <v>0</v>
      </c>
      <c r="BK14" s="8">
        <v>8000</v>
      </c>
      <c r="BL14" s="8">
        <v>8000</v>
      </c>
      <c r="BM14" s="8">
        <v>8</v>
      </c>
      <c r="BN14" s="8">
        <v>0</v>
      </c>
      <c r="BO14" s="8">
        <v>0</v>
      </c>
      <c r="BP14" s="8">
        <v>7000</v>
      </c>
      <c r="BQ14" s="8">
        <v>7000</v>
      </c>
      <c r="BR14" s="8">
        <v>7</v>
      </c>
      <c r="BS14" s="8">
        <v>0</v>
      </c>
      <c r="BT14" s="8">
        <v>0</v>
      </c>
      <c r="BU14" s="8">
        <v>5000</v>
      </c>
      <c r="BV14" s="8">
        <v>5000</v>
      </c>
      <c r="BW14" s="8">
        <v>5</v>
      </c>
      <c r="BX14" s="8">
        <v>0</v>
      </c>
      <c r="BY14" s="8">
        <v>0</v>
      </c>
      <c r="BZ14" s="8">
        <v>5000</v>
      </c>
      <c r="CA14" s="8">
        <v>5000</v>
      </c>
      <c r="CB14" s="8">
        <v>5</v>
      </c>
      <c r="CC14" s="8">
        <v>0</v>
      </c>
      <c r="CD14" s="8">
        <v>0</v>
      </c>
      <c r="CE14" s="8">
        <v>5000</v>
      </c>
      <c r="CF14" s="8">
        <v>5000</v>
      </c>
      <c r="CG14" s="8">
        <v>5</v>
      </c>
      <c r="CH14" s="8">
        <v>0</v>
      </c>
      <c r="CI14" s="8">
        <v>0</v>
      </c>
      <c r="CJ14" s="8">
        <v>5000</v>
      </c>
      <c r="CK14" s="8">
        <v>5000</v>
      </c>
      <c r="CL14" s="8">
        <v>5</v>
      </c>
      <c r="CM14" s="8">
        <v>0</v>
      </c>
      <c r="CN14" s="8">
        <v>0</v>
      </c>
      <c r="CO14" s="8">
        <v>0</v>
      </c>
      <c r="CP14" s="9">
        <v>72000</v>
      </c>
      <c r="CQ14" s="9">
        <v>72000</v>
      </c>
      <c r="CR14" s="8">
        <v>6</v>
      </c>
      <c r="CS14" s="8">
        <v>0</v>
      </c>
      <c r="CT14" s="8">
        <v>0</v>
      </c>
      <c r="CU14" s="8">
        <v>0</v>
      </c>
      <c r="CV14" s="8">
        <v>-72000</v>
      </c>
      <c r="CW14" s="8">
        <v>-72000</v>
      </c>
      <c r="CX14" s="8">
        <v>0</v>
      </c>
      <c r="CY14" s="8">
        <v>0</v>
      </c>
      <c r="CZ14" s="8">
        <v>0</v>
      </c>
      <c r="DA14" s="8">
        <v>0</v>
      </c>
      <c r="DB14" s="8">
        <v>72000</v>
      </c>
      <c r="DC14" s="8">
        <v>72000</v>
      </c>
    </row>
    <row r="15" spans="1:107">
      <c r="A15" s="10"/>
      <c r="B15" s="10"/>
      <c r="C15" s="11" t="s">
        <v>105</v>
      </c>
      <c r="D15" s="11" t="s">
        <v>106</v>
      </c>
      <c r="E15" s="11" t="s">
        <v>145</v>
      </c>
      <c r="F15" s="11" t="s">
        <v>151</v>
      </c>
      <c r="G15" s="11"/>
      <c r="H15" s="11">
        <v>38617005</v>
      </c>
      <c r="I15" s="11">
        <v>5841843202</v>
      </c>
      <c r="J15" s="11" t="s">
        <v>109</v>
      </c>
      <c r="K15" s="11" t="s">
        <v>152</v>
      </c>
      <c r="L15" s="11" t="s">
        <v>152</v>
      </c>
      <c r="M15" s="11" t="s">
        <v>111</v>
      </c>
      <c r="N15" s="11" t="s">
        <v>128</v>
      </c>
      <c r="O15" s="12" t="s">
        <v>113</v>
      </c>
      <c r="P15" s="12" t="s">
        <v>114</v>
      </c>
      <c r="Q15" s="13"/>
      <c r="R15" s="13"/>
      <c r="S15" s="14">
        <v>0</v>
      </c>
      <c r="T15" s="14">
        <v>0</v>
      </c>
      <c r="U15" s="8">
        <v>3000</v>
      </c>
      <c r="V15" s="8">
        <v>3000</v>
      </c>
      <c r="W15" s="14">
        <v>3</v>
      </c>
      <c r="X15" s="14">
        <v>0</v>
      </c>
      <c r="Y15" s="14">
        <v>0</v>
      </c>
      <c r="Z15" s="14">
        <v>0</v>
      </c>
      <c r="AA15" s="14">
        <v>0</v>
      </c>
      <c r="AB15" s="8">
        <v>3000</v>
      </c>
      <c r="AC15" s="8">
        <v>3000</v>
      </c>
      <c r="AD15" s="14">
        <v>3</v>
      </c>
      <c r="AE15" s="14">
        <v>0</v>
      </c>
      <c r="AF15" s="14">
        <v>0</v>
      </c>
      <c r="AG15" s="14">
        <v>0</v>
      </c>
      <c r="AH15" s="8">
        <v>0</v>
      </c>
      <c r="AI15" s="8">
        <v>3000</v>
      </c>
      <c r="AJ15" s="8">
        <v>3000</v>
      </c>
      <c r="AK15" s="14">
        <v>3</v>
      </c>
      <c r="AL15" s="14">
        <v>0</v>
      </c>
      <c r="AM15" s="14">
        <v>0</v>
      </c>
      <c r="AN15" s="14">
        <v>0</v>
      </c>
      <c r="AO15" s="8">
        <v>0</v>
      </c>
      <c r="AP15" s="8">
        <v>3000</v>
      </c>
      <c r="AQ15" s="8">
        <v>3000</v>
      </c>
      <c r="AR15" s="14">
        <v>3</v>
      </c>
      <c r="AS15" s="14">
        <v>0</v>
      </c>
      <c r="AT15" s="14">
        <v>0</v>
      </c>
      <c r="AU15" s="14">
        <v>0</v>
      </c>
      <c r="AV15" s="8">
        <v>0</v>
      </c>
      <c r="AW15" s="8">
        <v>3000</v>
      </c>
      <c r="AX15" s="8">
        <v>3000</v>
      </c>
      <c r="AY15" s="14">
        <v>3</v>
      </c>
      <c r="AZ15" s="14">
        <v>0</v>
      </c>
      <c r="BA15" s="14">
        <v>0</v>
      </c>
      <c r="BB15" s="14">
        <v>0</v>
      </c>
      <c r="BC15" s="8">
        <v>0</v>
      </c>
      <c r="BD15" s="8">
        <v>3000</v>
      </c>
      <c r="BE15" s="8">
        <v>3000</v>
      </c>
      <c r="BF15" s="14">
        <v>3</v>
      </c>
      <c r="BG15" s="14">
        <v>0</v>
      </c>
      <c r="BH15" s="14">
        <v>0</v>
      </c>
      <c r="BI15" s="14">
        <v>0</v>
      </c>
      <c r="BJ15" s="8">
        <v>0</v>
      </c>
      <c r="BK15" s="8">
        <v>3000</v>
      </c>
      <c r="BL15" s="8">
        <v>3000</v>
      </c>
      <c r="BM15" s="14">
        <v>3</v>
      </c>
      <c r="BN15" s="14">
        <v>0</v>
      </c>
      <c r="BO15" s="14">
        <v>0</v>
      </c>
      <c r="BP15" s="8">
        <v>3000</v>
      </c>
      <c r="BQ15" s="8">
        <v>3000</v>
      </c>
      <c r="BR15" s="14">
        <v>3</v>
      </c>
      <c r="BS15" s="14">
        <v>0</v>
      </c>
      <c r="BT15" s="14">
        <v>0</v>
      </c>
      <c r="BU15" s="8">
        <v>4000</v>
      </c>
      <c r="BV15" s="8">
        <v>4000</v>
      </c>
      <c r="BW15" s="14">
        <v>4</v>
      </c>
      <c r="BX15" s="14">
        <v>0</v>
      </c>
      <c r="BY15" s="14">
        <v>0</v>
      </c>
      <c r="BZ15" s="8">
        <v>4000</v>
      </c>
      <c r="CA15" s="8">
        <v>4000</v>
      </c>
      <c r="CB15" s="14">
        <v>4</v>
      </c>
      <c r="CC15" s="14">
        <v>0</v>
      </c>
      <c r="CD15" s="14">
        <v>0</v>
      </c>
      <c r="CE15" s="8">
        <v>4000</v>
      </c>
      <c r="CF15" s="8">
        <v>4000</v>
      </c>
      <c r="CG15" s="14">
        <v>4</v>
      </c>
      <c r="CH15" s="14">
        <v>0</v>
      </c>
      <c r="CI15" s="14">
        <v>0</v>
      </c>
      <c r="CJ15" s="8">
        <v>4000</v>
      </c>
      <c r="CK15" s="8">
        <v>4000</v>
      </c>
      <c r="CL15" s="14">
        <v>4</v>
      </c>
      <c r="CM15" s="14">
        <v>0</v>
      </c>
      <c r="CN15" s="14">
        <v>0</v>
      </c>
      <c r="CO15" s="14">
        <v>0</v>
      </c>
      <c r="CP15" s="9">
        <v>40000</v>
      </c>
      <c r="CQ15" s="9">
        <v>40000</v>
      </c>
      <c r="CR15" s="14">
        <v>3.3</v>
      </c>
      <c r="CS15" s="14">
        <v>0</v>
      </c>
      <c r="CT15" s="14">
        <v>0</v>
      </c>
      <c r="CU15" s="14">
        <v>0</v>
      </c>
      <c r="CV15" s="8">
        <v>-40000</v>
      </c>
      <c r="CW15" s="8">
        <v>-40000</v>
      </c>
      <c r="CX15" s="14">
        <v>0</v>
      </c>
      <c r="CY15" s="14">
        <v>0</v>
      </c>
      <c r="CZ15" s="14">
        <v>0</v>
      </c>
      <c r="DA15" s="14">
        <v>0</v>
      </c>
      <c r="DB15" s="8">
        <v>40000</v>
      </c>
      <c r="DC15" s="8">
        <v>40000</v>
      </c>
    </row>
    <row r="16" spans="1:107">
      <c r="A16" s="4"/>
      <c r="B16" s="4"/>
      <c r="C16" s="5" t="s">
        <v>105</v>
      </c>
      <c r="D16" s="5" t="s">
        <v>106</v>
      </c>
      <c r="E16" s="5" t="s">
        <v>115</v>
      </c>
      <c r="F16" s="5" t="s">
        <v>153</v>
      </c>
      <c r="G16" s="5" t="s">
        <v>126</v>
      </c>
      <c r="H16" s="5">
        <v>38617007</v>
      </c>
      <c r="I16" s="5">
        <v>5842073202</v>
      </c>
      <c r="J16" s="5" t="s">
        <v>109</v>
      </c>
      <c r="K16" s="5" t="s">
        <v>154</v>
      </c>
      <c r="L16" s="5" t="s">
        <v>154</v>
      </c>
      <c r="M16" s="5" t="s">
        <v>111</v>
      </c>
      <c r="N16" s="5" t="s">
        <v>128</v>
      </c>
      <c r="O16" s="6" t="s">
        <v>113</v>
      </c>
      <c r="P16" s="6" t="s">
        <v>114</v>
      </c>
      <c r="Q16" s="7"/>
      <c r="R16" s="7"/>
      <c r="S16" s="8">
        <v>0</v>
      </c>
      <c r="T16" s="8">
        <v>0</v>
      </c>
      <c r="U16" s="8">
        <v>6000</v>
      </c>
      <c r="V16" s="8">
        <v>6000</v>
      </c>
      <c r="W16" s="8">
        <v>6</v>
      </c>
      <c r="X16" s="8">
        <v>0</v>
      </c>
      <c r="Y16" s="8">
        <v>0</v>
      </c>
      <c r="Z16" s="8">
        <v>0</v>
      </c>
      <c r="AA16" s="8">
        <v>0</v>
      </c>
      <c r="AB16" s="8">
        <v>6000</v>
      </c>
      <c r="AC16" s="8">
        <v>6000</v>
      </c>
      <c r="AD16" s="8">
        <v>6</v>
      </c>
      <c r="AE16" s="8">
        <v>0</v>
      </c>
      <c r="AF16" s="8">
        <v>0</v>
      </c>
      <c r="AG16" s="8">
        <v>0</v>
      </c>
      <c r="AH16" s="8">
        <v>0</v>
      </c>
      <c r="AI16" s="8">
        <v>6000</v>
      </c>
      <c r="AJ16" s="8">
        <v>6000</v>
      </c>
      <c r="AK16" s="8">
        <v>6</v>
      </c>
      <c r="AL16" s="8">
        <v>0</v>
      </c>
      <c r="AM16" s="8">
        <v>0</v>
      </c>
      <c r="AN16" s="8">
        <v>0</v>
      </c>
      <c r="AO16" s="8">
        <v>0</v>
      </c>
      <c r="AP16" s="8">
        <v>6000</v>
      </c>
      <c r="AQ16" s="8">
        <v>6000</v>
      </c>
      <c r="AR16" s="8">
        <v>6</v>
      </c>
      <c r="AS16" s="8">
        <v>0</v>
      </c>
      <c r="AT16" s="8">
        <v>0</v>
      </c>
      <c r="AU16" s="8">
        <v>0</v>
      </c>
      <c r="AV16" s="8">
        <v>0</v>
      </c>
      <c r="AW16" s="8">
        <v>6000</v>
      </c>
      <c r="AX16" s="8">
        <v>6000</v>
      </c>
      <c r="AY16" s="8">
        <v>6</v>
      </c>
      <c r="AZ16" s="8">
        <v>0</v>
      </c>
      <c r="BA16" s="8">
        <v>0</v>
      </c>
      <c r="BB16" s="8">
        <v>0</v>
      </c>
      <c r="BC16" s="8">
        <v>0</v>
      </c>
      <c r="BD16" s="8">
        <v>6000</v>
      </c>
      <c r="BE16" s="8">
        <v>6000</v>
      </c>
      <c r="BF16" s="8">
        <v>6</v>
      </c>
      <c r="BG16" s="8">
        <v>0</v>
      </c>
      <c r="BH16" s="8">
        <v>0</v>
      </c>
      <c r="BI16" s="8">
        <v>0</v>
      </c>
      <c r="BJ16" s="8">
        <v>0</v>
      </c>
      <c r="BK16" s="8">
        <v>6000</v>
      </c>
      <c r="BL16" s="8">
        <v>6000</v>
      </c>
      <c r="BM16" s="8">
        <v>6</v>
      </c>
      <c r="BN16" s="8">
        <v>0</v>
      </c>
      <c r="BO16" s="8">
        <v>0</v>
      </c>
      <c r="BP16" s="8">
        <v>6000</v>
      </c>
      <c r="BQ16" s="8">
        <v>6000</v>
      </c>
      <c r="BR16" s="8">
        <v>6</v>
      </c>
      <c r="BS16" s="8">
        <v>0</v>
      </c>
      <c r="BT16" s="8">
        <v>0</v>
      </c>
      <c r="BU16" s="8">
        <v>6000</v>
      </c>
      <c r="BV16" s="8">
        <v>6000</v>
      </c>
      <c r="BW16" s="8">
        <v>6</v>
      </c>
      <c r="BX16" s="8">
        <v>0</v>
      </c>
      <c r="BY16" s="8">
        <v>0</v>
      </c>
      <c r="BZ16" s="8">
        <v>6000</v>
      </c>
      <c r="CA16" s="8">
        <v>6000</v>
      </c>
      <c r="CB16" s="8">
        <v>6</v>
      </c>
      <c r="CC16" s="8">
        <v>0</v>
      </c>
      <c r="CD16" s="8">
        <v>0</v>
      </c>
      <c r="CE16" s="8">
        <v>6000</v>
      </c>
      <c r="CF16" s="8">
        <v>6000</v>
      </c>
      <c r="CG16" s="8">
        <v>6</v>
      </c>
      <c r="CH16" s="8">
        <v>0</v>
      </c>
      <c r="CI16" s="8">
        <v>0</v>
      </c>
      <c r="CJ16" s="8">
        <v>6000</v>
      </c>
      <c r="CK16" s="8">
        <v>6000</v>
      </c>
      <c r="CL16" s="8">
        <v>6</v>
      </c>
      <c r="CM16" s="8">
        <v>0</v>
      </c>
      <c r="CN16" s="8">
        <v>0</v>
      </c>
      <c r="CO16" s="8">
        <v>0</v>
      </c>
      <c r="CP16" s="9">
        <v>72000</v>
      </c>
      <c r="CQ16" s="9">
        <v>72000</v>
      </c>
      <c r="CR16" s="8">
        <v>6</v>
      </c>
      <c r="CS16" s="8">
        <v>0</v>
      </c>
      <c r="CT16" s="8">
        <v>0</v>
      </c>
      <c r="CU16" s="8">
        <v>0</v>
      </c>
      <c r="CV16" s="8">
        <v>-72000</v>
      </c>
      <c r="CW16" s="8">
        <v>-72000</v>
      </c>
      <c r="CX16" s="8">
        <v>0</v>
      </c>
      <c r="CY16" s="8">
        <v>0</v>
      </c>
      <c r="CZ16" s="8">
        <v>0</v>
      </c>
      <c r="DA16" s="8">
        <v>0</v>
      </c>
      <c r="DB16" s="8">
        <v>72000</v>
      </c>
      <c r="DC16" s="8">
        <v>72000</v>
      </c>
    </row>
    <row r="17" spans="1:107">
      <c r="A17" s="10"/>
      <c r="B17" s="10"/>
      <c r="C17" s="11" t="s">
        <v>105</v>
      </c>
      <c r="D17" s="11" t="s">
        <v>106</v>
      </c>
      <c r="E17" s="11" t="s">
        <v>124</v>
      </c>
      <c r="F17" s="11" t="s">
        <v>155</v>
      </c>
      <c r="G17" s="11"/>
      <c r="H17" s="11">
        <v>38617008</v>
      </c>
      <c r="I17" s="11">
        <v>5841813202</v>
      </c>
      <c r="J17" s="11" t="s">
        <v>109</v>
      </c>
      <c r="K17" s="11" t="s">
        <v>156</v>
      </c>
      <c r="L17" s="11" t="s">
        <v>156</v>
      </c>
      <c r="M17" s="11" t="s">
        <v>111</v>
      </c>
      <c r="N17" s="11" t="s">
        <v>128</v>
      </c>
      <c r="O17" s="12" t="s">
        <v>113</v>
      </c>
      <c r="P17" s="12" t="s">
        <v>114</v>
      </c>
      <c r="Q17" s="13"/>
      <c r="R17" s="13"/>
      <c r="S17" s="14">
        <v>0</v>
      </c>
      <c r="T17" s="14">
        <v>0</v>
      </c>
      <c r="U17" s="8">
        <v>4000</v>
      </c>
      <c r="V17" s="8">
        <v>4000</v>
      </c>
      <c r="W17" s="14">
        <v>4</v>
      </c>
      <c r="X17" s="14">
        <v>0</v>
      </c>
      <c r="Y17" s="14">
        <v>0</v>
      </c>
      <c r="Z17" s="14">
        <v>0</v>
      </c>
      <c r="AA17" s="14">
        <v>0</v>
      </c>
      <c r="AB17" s="8">
        <v>4000</v>
      </c>
      <c r="AC17" s="8">
        <v>4000</v>
      </c>
      <c r="AD17" s="14">
        <v>4</v>
      </c>
      <c r="AE17" s="14">
        <v>0</v>
      </c>
      <c r="AF17" s="14">
        <v>0</v>
      </c>
      <c r="AG17" s="14">
        <v>0</v>
      </c>
      <c r="AH17" s="8">
        <v>0</v>
      </c>
      <c r="AI17" s="8">
        <v>4000</v>
      </c>
      <c r="AJ17" s="8">
        <v>4000</v>
      </c>
      <c r="AK17" s="14">
        <v>4</v>
      </c>
      <c r="AL17" s="14">
        <v>0</v>
      </c>
      <c r="AM17" s="14">
        <v>0</v>
      </c>
      <c r="AN17" s="14">
        <v>0</v>
      </c>
      <c r="AO17" s="8">
        <v>0</v>
      </c>
      <c r="AP17" s="8">
        <v>4000</v>
      </c>
      <c r="AQ17" s="8">
        <v>4000</v>
      </c>
      <c r="AR17" s="14">
        <v>4</v>
      </c>
      <c r="AS17" s="14">
        <v>0</v>
      </c>
      <c r="AT17" s="14">
        <v>0</v>
      </c>
      <c r="AU17" s="14">
        <v>0</v>
      </c>
      <c r="AV17" s="8">
        <v>0</v>
      </c>
      <c r="AW17" s="8">
        <v>4000</v>
      </c>
      <c r="AX17" s="8">
        <v>4000</v>
      </c>
      <c r="AY17" s="14">
        <v>4</v>
      </c>
      <c r="AZ17" s="14">
        <v>0</v>
      </c>
      <c r="BA17" s="14">
        <v>0</v>
      </c>
      <c r="BB17" s="14">
        <v>0</v>
      </c>
      <c r="BC17" s="8">
        <v>0</v>
      </c>
      <c r="BD17" s="8">
        <v>4000</v>
      </c>
      <c r="BE17" s="8">
        <v>4000</v>
      </c>
      <c r="BF17" s="14">
        <v>4</v>
      </c>
      <c r="BG17" s="14">
        <v>0</v>
      </c>
      <c r="BH17" s="14">
        <v>0</v>
      </c>
      <c r="BI17" s="14">
        <v>0</v>
      </c>
      <c r="BJ17" s="8">
        <v>0</v>
      </c>
      <c r="BK17" s="8">
        <v>4000</v>
      </c>
      <c r="BL17" s="8">
        <v>4000</v>
      </c>
      <c r="BM17" s="14">
        <v>4</v>
      </c>
      <c r="BN17" s="14">
        <v>0</v>
      </c>
      <c r="BO17" s="14">
        <v>0</v>
      </c>
      <c r="BP17" s="8">
        <v>4000</v>
      </c>
      <c r="BQ17" s="8">
        <v>4000</v>
      </c>
      <c r="BR17" s="14">
        <v>4</v>
      </c>
      <c r="BS17" s="14">
        <v>0</v>
      </c>
      <c r="BT17" s="14">
        <v>0</v>
      </c>
      <c r="BU17" s="8">
        <v>4000</v>
      </c>
      <c r="BV17" s="8">
        <v>4000</v>
      </c>
      <c r="BW17" s="14">
        <v>4</v>
      </c>
      <c r="BX17" s="14">
        <v>0</v>
      </c>
      <c r="BY17" s="14">
        <v>0</v>
      </c>
      <c r="BZ17" s="8">
        <v>4000</v>
      </c>
      <c r="CA17" s="8">
        <v>4000</v>
      </c>
      <c r="CB17" s="14">
        <v>4</v>
      </c>
      <c r="CC17" s="14">
        <v>0</v>
      </c>
      <c r="CD17" s="14">
        <v>0</v>
      </c>
      <c r="CE17" s="8">
        <v>4000</v>
      </c>
      <c r="CF17" s="8">
        <v>4000</v>
      </c>
      <c r="CG17" s="14">
        <v>4</v>
      </c>
      <c r="CH17" s="14">
        <v>0</v>
      </c>
      <c r="CI17" s="14">
        <v>0</v>
      </c>
      <c r="CJ17" s="8">
        <v>4000</v>
      </c>
      <c r="CK17" s="8">
        <v>4000</v>
      </c>
      <c r="CL17" s="14">
        <v>4</v>
      </c>
      <c r="CM17" s="14">
        <v>0</v>
      </c>
      <c r="CN17" s="14">
        <v>0</v>
      </c>
      <c r="CO17" s="14">
        <v>0</v>
      </c>
      <c r="CP17" s="9">
        <v>48000</v>
      </c>
      <c r="CQ17" s="9">
        <v>48000</v>
      </c>
      <c r="CR17" s="14">
        <v>4</v>
      </c>
      <c r="CS17" s="14">
        <v>0</v>
      </c>
      <c r="CT17" s="14">
        <v>0</v>
      </c>
      <c r="CU17" s="14">
        <v>0</v>
      </c>
      <c r="CV17" s="8">
        <v>-48000</v>
      </c>
      <c r="CW17" s="8">
        <v>-48000</v>
      </c>
      <c r="CX17" s="14">
        <v>0</v>
      </c>
      <c r="CY17" s="14">
        <v>0</v>
      </c>
      <c r="CZ17" s="14">
        <v>0</v>
      </c>
      <c r="DA17" s="14">
        <v>0</v>
      </c>
      <c r="DB17" s="8">
        <v>48000</v>
      </c>
      <c r="DC17" s="8">
        <v>48000</v>
      </c>
    </row>
    <row r="18" spans="1:107">
      <c r="A18" s="4"/>
      <c r="B18" s="4"/>
      <c r="C18" s="5" t="s">
        <v>105</v>
      </c>
      <c r="D18" s="5" t="s">
        <v>106</v>
      </c>
      <c r="E18" s="5" t="s">
        <v>124</v>
      </c>
      <c r="F18" s="5" t="s">
        <v>157</v>
      </c>
      <c r="G18" s="5"/>
      <c r="H18" s="5" t="s">
        <v>158</v>
      </c>
      <c r="I18" s="5" t="s">
        <v>158</v>
      </c>
      <c r="J18" s="5" t="s">
        <v>109</v>
      </c>
      <c r="K18" s="5" t="s">
        <v>158</v>
      </c>
      <c r="L18" s="5" t="s">
        <v>158</v>
      </c>
      <c r="M18" s="5" t="s">
        <v>159</v>
      </c>
      <c r="N18" s="5" t="s">
        <v>159</v>
      </c>
      <c r="O18" s="6" t="s">
        <v>159</v>
      </c>
      <c r="P18" s="6"/>
      <c r="Q18" s="7"/>
      <c r="R18" s="7"/>
      <c r="S18" s="8">
        <v>0</v>
      </c>
      <c r="T18" s="8">
        <v>0</v>
      </c>
      <c r="U18" s="8">
        <v>0</v>
      </c>
      <c r="V18" s="8">
        <v>0</v>
      </c>
      <c r="W18" s="8">
        <v>0</v>
      </c>
      <c r="X18" s="8">
        <v>0</v>
      </c>
      <c r="Y18" s="8">
        <v>0</v>
      </c>
      <c r="Z18" s="8">
        <v>0</v>
      </c>
      <c r="AA18" s="8">
        <v>0</v>
      </c>
      <c r="AB18" s="8">
        <v>0</v>
      </c>
      <c r="AC18" s="8">
        <v>0</v>
      </c>
      <c r="AD18" s="8">
        <v>0</v>
      </c>
      <c r="AE18" s="8">
        <v>0</v>
      </c>
      <c r="AF18" s="8">
        <v>0</v>
      </c>
      <c r="AG18" s="8">
        <v>0</v>
      </c>
      <c r="AH18" s="8">
        <v>0</v>
      </c>
      <c r="AI18" s="8">
        <v>0</v>
      </c>
      <c r="AJ18" s="8">
        <v>0</v>
      </c>
      <c r="AK18" s="8">
        <v>0</v>
      </c>
      <c r="AL18" s="8">
        <v>0</v>
      </c>
      <c r="AM18" s="8">
        <v>0</v>
      </c>
      <c r="AN18" s="8">
        <v>0</v>
      </c>
      <c r="AO18" s="8">
        <v>0</v>
      </c>
      <c r="AP18" s="8">
        <v>0</v>
      </c>
      <c r="AQ18" s="8">
        <v>0</v>
      </c>
      <c r="AR18" s="8">
        <v>0</v>
      </c>
      <c r="AS18" s="8">
        <v>0</v>
      </c>
      <c r="AT18" s="8">
        <v>0</v>
      </c>
      <c r="AU18" s="8">
        <v>0</v>
      </c>
      <c r="AV18" s="8">
        <v>0</v>
      </c>
      <c r="AW18" s="8">
        <v>0</v>
      </c>
      <c r="AX18" s="8">
        <v>0</v>
      </c>
      <c r="AY18" s="8">
        <v>0</v>
      </c>
      <c r="AZ18" s="8">
        <v>0</v>
      </c>
      <c r="BA18" s="8">
        <v>0</v>
      </c>
      <c r="BB18" s="8">
        <v>0</v>
      </c>
      <c r="BC18" s="8">
        <v>0</v>
      </c>
      <c r="BD18" s="8">
        <v>0</v>
      </c>
      <c r="BE18" s="8">
        <v>0</v>
      </c>
      <c r="BF18" s="8">
        <v>0</v>
      </c>
      <c r="BG18" s="8">
        <v>0</v>
      </c>
      <c r="BH18" s="8">
        <v>0</v>
      </c>
      <c r="BI18" s="8">
        <v>0</v>
      </c>
      <c r="BJ18" s="8">
        <v>0</v>
      </c>
      <c r="BK18" s="8">
        <v>0</v>
      </c>
      <c r="BL18" s="8">
        <v>0</v>
      </c>
      <c r="BM18" s="8">
        <v>0</v>
      </c>
      <c r="BN18" s="8">
        <v>0</v>
      </c>
      <c r="BO18" s="8">
        <v>0</v>
      </c>
      <c r="BP18" s="8">
        <v>2000</v>
      </c>
      <c r="BQ18" s="8">
        <v>2000</v>
      </c>
      <c r="BR18" s="8">
        <v>2</v>
      </c>
      <c r="BS18" s="8">
        <v>0</v>
      </c>
      <c r="BT18" s="8">
        <v>0</v>
      </c>
      <c r="BU18" s="8">
        <v>2000</v>
      </c>
      <c r="BV18" s="8">
        <v>2000</v>
      </c>
      <c r="BW18" s="8">
        <v>2</v>
      </c>
      <c r="BX18" s="8">
        <v>0</v>
      </c>
      <c r="BY18" s="8">
        <v>0</v>
      </c>
      <c r="BZ18" s="8">
        <v>2000</v>
      </c>
      <c r="CA18" s="8">
        <v>2000</v>
      </c>
      <c r="CB18" s="8">
        <v>2</v>
      </c>
      <c r="CC18" s="8">
        <v>0</v>
      </c>
      <c r="CD18" s="8">
        <v>0</v>
      </c>
      <c r="CE18" s="8">
        <v>2000</v>
      </c>
      <c r="CF18" s="8">
        <v>2000</v>
      </c>
      <c r="CG18" s="8">
        <v>2</v>
      </c>
      <c r="CH18" s="8">
        <v>0</v>
      </c>
      <c r="CI18" s="8">
        <v>0</v>
      </c>
      <c r="CJ18" s="8">
        <v>2000</v>
      </c>
      <c r="CK18" s="8">
        <v>2000</v>
      </c>
      <c r="CL18" s="8">
        <v>2</v>
      </c>
      <c r="CM18" s="8">
        <v>0</v>
      </c>
      <c r="CN18" s="8">
        <v>0</v>
      </c>
      <c r="CO18" s="8">
        <v>0</v>
      </c>
      <c r="CP18" s="9">
        <v>10000</v>
      </c>
      <c r="CQ18" s="9">
        <v>10000</v>
      </c>
      <c r="CR18" s="8">
        <v>0.8</v>
      </c>
      <c r="CS18" s="8">
        <v>0</v>
      </c>
      <c r="CT18" s="8">
        <v>0</v>
      </c>
      <c r="CU18" s="8">
        <v>0</v>
      </c>
      <c r="CV18" s="8">
        <v>-10000</v>
      </c>
      <c r="CW18" s="8">
        <v>-10000</v>
      </c>
      <c r="CX18" s="8">
        <v>0</v>
      </c>
      <c r="CY18" s="8">
        <v>0</v>
      </c>
      <c r="CZ18" s="8">
        <v>0</v>
      </c>
      <c r="DA18" s="8">
        <v>0</v>
      </c>
      <c r="DB18" s="8">
        <v>10000</v>
      </c>
      <c r="DC18" s="8">
        <v>10000</v>
      </c>
    </row>
    <row r="19" spans="1:107">
      <c r="A19" s="10"/>
      <c r="B19" s="10"/>
      <c r="C19" s="11" t="s">
        <v>105</v>
      </c>
      <c r="D19" s="11" t="s">
        <v>106</v>
      </c>
      <c r="E19" s="11" t="s">
        <v>160</v>
      </c>
      <c r="F19" s="11" t="s">
        <v>161</v>
      </c>
      <c r="G19" s="11"/>
      <c r="H19" s="11" t="s">
        <v>162</v>
      </c>
      <c r="I19" s="11">
        <v>5841813202</v>
      </c>
      <c r="J19" s="11" t="s">
        <v>109</v>
      </c>
      <c r="K19" s="11" t="s">
        <v>162</v>
      </c>
      <c r="L19" s="11" t="s">
        <v>162</v>
      </c>
      <c r="M19" s="11" t="s">
        <v>163</v>
      </c>
      <c r="N19" s="11" t="s">
        <v>112</v>
      </c>
      <c r="O19" s="12" t="s">
        <v>113</v>
      </c>
      <c r="P19" s="12"/>
      <c r="Q19" s="13"/>
      <c r="R19" s="13"/>
      <c r="S19" s="14">
        <v>0</v>
      </c>
      <c r="T19" s="14">
        <v>0</v>
      </c>
      <c r="U19" s="8">
        <v>0</v>
      </c>
      <c r="V19" s="8">
        <v>0</v>
      </c>
      <c r="W19" s="14">
        <v>0</v>
      </c>
      <c r="X19" s="14">
        <v>0</v>
      </c>
      <c r="Y19" s="14">
        <v>0</v>
      </c>
      <c r="Z19" s="14">
        <v>0</v>
      </c>
      <c r="AA19" s="14">
        <v>0</v>
      </c>
      <c r="AB19" s="8">
        <v>0</v>
      </c>
      <c r="AC19" s="8">
        <v>0</v>
      </c>
      <c r="AD19" s="14">
        <v>0</v>
      </c>
      <c r="AE19" s="14">
        <v>0</v>
      </c>
      <c r="AF19" s="14">
        <v>0</v>
      </c>
      <c r="AG19" s="14">
        <v>0</v>
      </c>
      <c r="AH19" s="8">
        <v>0</v>
      </c>
      <c r="AI19" s="8">
        <v>2000</v>
      </c>
      <c r="AJ19" s="8">
        <v>2000</v>
      </c>
      <c r="AK19" s="14">
        <v>2</v>
      </c>
      <c r="AL19" s="14">
        <v>0</v>
      </c>
      <c r="AM19" s="14">
        <v>0</v>
      </c>
      <c r="AN19" s="14">
        <v>0</v>
      </c>
      <c r="AO19" s="8">
        <v>0</v>
      </c>
      <c r="AP19" s="8">
        <v>3000</v>
      </c>
      <c r="AQ19" s="8">
        <v>3000</v>
      </c>
      <c r="AR19" s="14">
        <v>3</v>
      </c>
      <c r="AS19" s="14">
        <v>0</v>
      </c>
      <c r="AT19" s="14">
        <v>0</v>
      </c>
      <c r="AU19" s="14">
        <v>0</v>
      </c>
      <c r="AV19" s="8">
        <v>0</v>
      </c>
      <c r="AW19" s="8">
        <v>4000</v>
      </c>
      <c r="AX19" s="8">
        <v>4000</v>
      </c>
      <c r="AY19" s="14">
        <v>4</v>
      </c>
      <c r="AZ19" s="14">
        <v>0</v>
      </c>
      <c r="BA19" s="14">
        <v>0</v>
      </c>
      <c r="BB19" s="14">
        <v>0</v>
      </c>
      <c r="BC19" s="8">
        <v>0</v>
      </c>
      <c r="BD19" s="8">
        <v>4000</v>
      </c>
      <c r="BE19" s="8">
        <v>4000</v>
      </c>
      <c r="BF19" s="14">
        <v>4</v>
      </c>
      <c r="BG19" s="14">
        <v>0</v>
      </c>
      <c r="BH19" s="14">
        <v>0</v>
      </c>
      <c r="BI19" s="14">
        <v>0</v>
      </c>
      <c r="BJ19" s="8">
        <v>0</v>
      </c>
      <c r="BK19" s="8">
        <v>4000</v>
      </c>
      <c r="BL19" s="8">
        <v>4000</v>
      </c>
      <c r="BM19" s="14">
        <v>4</v>
      </c>
      <c r="BN19" s="14">
        <v>0</v>
      </c>
      <c r="BO19" s="14">
        <v>0</v>
      </c>
      <c r="BP19" s="8">
        <v>4000</v>
      </c>
      <c r="BQ19" s="8">
        <v>4000</v>
      </c>
      <c r="BR19" s="14">
        <v>4</v>
      </c>
      <c r="BS19" s="14">
        <v>0</v>
      </c>
      <c r="BT19" s="14">
        <v>0</v>
      </c>
      <c r="BU19" s="8">
        <v>4000</v>
      </c>
      <c r="BV19" s="8">
        <v>4000</v>
      </c>
      <c r="BW19" s="14">
        <v>4</v>
      </c>
      <c r="BX19" s="14">
        <v>0</v>
      </c>
      <c r="BY19" s="14">
        <v>0</v>
      </c>
      <c r="BZ19" s="8">
        <v>4000</v>
      </c>
      <c r="CA19" s="8">
        <v>4000</v>
      </c>
      <c r="CB19" s="14">
        <v>4</v>
      </c>
      <c r="CC19" s="14">
        <v>0</v>
      </c>
      <c r="CD19" s="14">
        <v>0</v>
      </c>
      <c r="CE19" s="8">
        <v>4000</v>
      </c>
      <c r="CF19" s="8">
        <v>4000</v>
      </c>
      <c r="CG19" s="14">
        <v>4</v>
      </c>
      <c r="CH19" s="14">
        <v>0</v>
      </c>
      <c r="CI19" s="14">
        <v>0</v>
      </c>
      <c r="CJ19" s="8">
        <v>4000</v>
      </c>
      <c r="CK19" s="8">
        <v>4000</v>
      </c>
      <c r="CL19" s="14">
        <v>4</v>
      </c>
      <c r="CM19" s="14">
        <v>0</v>
      </c>
      <c r="CN19" s="14">
        <v>0</v>
      </c>
      <c r="CO19" s="14">
        <v>0</v>
      </c>
      <c r="CP19" s="9">
        <v>37000</v>
      </c>
      <c r="CQ19" s="9">
        <v>37000</v>
      </c>
      <c r="CR19" s="14">
        <v>3.1</v>
      </c>
      <c r="CS19" s="14">
        <v>0</v>
      </c>
      <c r="CT19" s="14">
        <v>0</v>
      </c>
      <c r="CU19" s="14">
        <v>0</v>
      </c>
      <c r="CV19" s="8">
        <v>-37000</v>
      </c>
      <c r="CW19" s="8">
        <v>-37000</v>
      </c>
      <c r="CX19" s="14">
        <v>0</v>
      </c>
      <c r="CY19" s="14">
        <v>0</v>
      </c>
      <c r="CZ19" s="14">
        <v>0</v>
      </c>
      <c r="DA19" s="14">
        <v>0</v>
      </c>
      <c r="DB19" s="8">
        <v>37000</v>
      </c>
      <c r="DC19" s="8">
        <v>37000</v>
      </c>
    </row>
    <row r="20" spans="1:107">
      <c r="A20" s="24" t="s">
        <v>126</v>
      </c>
      <c r="B20" s="4"/>
      <c r="C20" s="5" t="s">
        <v>105</v>
      </c>
      <c r="D20" s="5" t="s">
        <v>106</v>
      </c>
      <c r="E20" s="5" t="s">
        <v>164</v>
      </c>
      <c r="F20" s="23" t="s">
        <v>165</v>
      </c>
      <c r="G20" s="5"/>
      <c r="H20" s="5" t="s">
        <v>166</v>
      </c>
      <c r="I20" s="5">
        <v>5842263202</v>
      </c>
      <c r="J20" s="5" t="s">
        <v>109</v>
      </c>
      <c r="K20" s="5" t="s">
        <v>166</v>
      </c>
      <c r="L20" s="5" t="s">
        <v>166</v>
      </c>
      <c r="M20" s="5" t="s">
        <v>163</v>
      </c>
      <c r="N20" s="5" t="s">
        <v>128</v>
      </c>
      <c r="O20" s="6" t="s">
        <v>113</v>
      </c>
      <c r="P20" s="6"/>
      <c r="Q20" s="7"/>
      <c r="R20" s="7"/>
      <c r="S20" s="8">
        <v>0</v>
      </c>
      <c r="T20" s="8">
        <v>0</v>
      </c>
      <c r="U20" s="8">
        <v>0</v>
      </c>
      <c r="V20" s="8">
        <v>0</v>
      </c>
      <c r="W20" s="8">
        <v>0</v>
      </c>
      <c r="X20" s="8">
        <v>0</v>
      </c>
      <c r="Y20" s="8">
        <v>0</v>
      </c>
      <c r="Z20" s="8">
        <v>0</v>
      </c>
      <c r="AA20" s="8">
        <v>0</v>
      </c>
      <c r="AB20" s="8">
        <v>5000</v>
      </c>
      <c r="AC20" s="8">
        <v>5000</v>
      </c>
      <c r="AD20" s="8">
        <v>5</v>
      </c>
      <c r="AE20" s="8">
        <v>0</v>
      </c>
      <c r="AF20" s="8">
        <v>0</v>
      </c>
      <c r="AG20" s="8">
        <v>0</v>
      </c>
      <c r="AH20" s="8">
        <v>0</v>
      </c>
      <c r="AI20" s="8">
        <v>5000</v>
      </c>
      <c r="AJ20" s="8">
        <v>5000</v>
      </c>
      <c r="AK20" s="8">
        <v>5</v>
      </c>
      <c r="AL20" s="8">
        <v>0</v>
      </c>
      <c r="AM20" s="8">
        <v>0</v>
      </c>
      <c r="AN20" s="8">
        <v>0</v>
      </c>
      <c r="AO20" s="8">
        <v>0</v>
      </c>
      <c r="AP20" s="8">
        <v>5000</v>
      </c>
      <c r="AQ20" s="8">
        <v>5000</v>
      </c>
      <c r="AR20" s="8">
        <v>5</v>
      </c>
      <c r="AS20" s="8">
        <v>0</v>
      </c>
      <c r="AT20" s="8">
        <v>0</v>
      </c>
      <c r="AU20" s="8">
        <v>0</v>
      </c>
      <c r="AV20" s="8">
        <v>0</v>
      </c>
      <c r="AW20" s="8">
        <v>5000</v>
      </c>
      <c r="AX20" s="8">
        <v>5000</v>
      </c>
      <c r="AY20" s="8">
        <v>5</v>
      </c>
      <c r="AZ20" s="8">
        <v>0</v>
      </c>
      <c r="BA20" s="8">
        <v>0</v>
      </c>
      <c r="BB20" s="8">
        <v>0</v>
      </c>
      <c r="BC20" s="8">
        <v>0</v>
      </c>
      <c r="BD20" s="8">
        <v>5000</v>
      </c>
      <c r="BE20" s="8">
        <v>5000</v>
      </c>
      <c r="BF20" s="8">
        <v>5</v>
      </c>
      <c r="BG20" s="8">
        <v>0</v>
      </c>
      <c r="BH20" s="8">
        <v>0</v>
      </c>
      <c r="BI20" s="8">
        <v>0</v>
      </c>
      <c r="BJ20" s="8">
        <v>0</v>
      </c>
      <c r="BK20" s="8">
        <v>5000</v>
      </c>
      <c r="BL20" s="8">
        <v>5000</v>
      </c>
      <c r="BM20" s="8">
        <v>5</v>
      </c>
      <c r="BN20" s="8">
        <v>0</v>
      </c>
      <c r="BO20" s="8">
        <v>0</v>
      </c>
      <c r="BP20" s="8">
        <v>5000</v>
      </c>
      <c r="BQ20" s="8">
        <v>5000</v>
      </c>
      <c r="BR20" s="8">
        <v>5</v>
      </c>
      <c r="BS20" s="8">
        <v>0</v>
      </c>
      <c r="BT20" s="8">
        <v>0</v>
      </c>
      <c r="BU20" s="8">
        <v>5000</v>
      </c>
      <c r="BV20" s="8">
        <v>5000</v>
      </c>
      <c r="BW20" s="8">
        <v>5</v>
      </c>
      <c r="BX20" s="8">
        <v>0</v>
      </c>
      <c r="BY20" s="8">
        <v>0</v>
      </c>
      <c r="BZ20" s="8">
        <v>5000</v>
      </c>
      <c r="CA20" s="8">
        <v>5000</v>
      </c>
      <c r="CB20" s="8">
        <v>5</v>
      </c>
      <c r="CC20" s="8">
        <v>0</v>
      </c>
      <c r="CD20" s="8">
        <v>0</v>
      </c>
      <c r="CE20" s="8">
        <v>5000</v>
      </c>
      <c r="CF20" s="8">
        <v>5000</v>
      </c>
      <c r="CG20" s="8">
        <v>5</v>
      </c>
      <c r="CH20" s="8">
        <v>0</v>
      </c>
      <c r="CI20" s="8">
        <v>0</v>
      </c>
      <c r="CJ20" s="8">
        <v>5000</v>
      </c>
      <c r="CK20" s="8">
        <v>5000</v>
      </c>
      <c r="CL20" s="8">
        <v>5</v>
      </c>
      <c r="CM20" s="8">
        <v>0</v>
      </c>
      <c r="CN20" s="8">
        <v>0</v>
      </c>
      <c r="CO20" s="8">
        <v>0</v>
      </c>
      <c r="CP20" s="9">
        <v>55000</v>
      </c>
      <c r="CQ20" s="9">
        <v>55000</v>
      </c>
      <c r="CR20" s="8">
        <v>4.5999999999999996</v>
      </c>
      <c r="CS20" s="8">
        <v>0</v>
      </c>
      <c r="CT20" s="8">
        <v>0</v>
      </c>
      <c r="CU20" s="8">
        <v>0</v>
      </c>
      <c r="CV20" s="8">
        <v>-55000</v>
      </c>
      <c r="CW20" s="8">
        <v>-55000</v>
      </c>
      <c r="CX20" s="8">
        <v>0</v>
      </c>
      <c r="CY20" s="8">
        <v>0</v>
      </c>
      <c r="CZ20" s="8">
        <v>0</v>
      </c>
      <c r="DA20" s="8">
        <v>0</v>
      </c>
      <c r="DB20" s="8">
        <v>55000</v>
      </c>
      <c r="DC20" s="8">
        <v>55000</v>
      </c>
    </row>
    <row r="21" spans="1:107">
      <c r="A21" s="24" t="s">
        <v>126</v>
      </c>
      <c r="B21" s="4"/>
      <c r="C21" s="5" t="s">
        <v>105</v>
      </c>
      <c r="D21" s="5" t="s">
        <v>106</v>
      </c>
      <c r="E21" s="5" t="s">
        <v>164</v>
      </c>
      <c r="F21" s="23" t="s">
        <v>165</v>
      </c>
      <c r="G21" s="5"/>
      <c r="H21" s="5" t="s">
        <v>166</v>
      </c>
      <c r="I21" s="5">
        <v>5842263202</v>
      </c>
      <c r="J21" s="5" t="s">
        <v>109</v>
      </c>
      <c r="K21" s="5" t="s">
        <v>166</v>
      </c>
      <c r="L21" s="5" t="s">
        <v>166</v>
      </c>
      <c r="M21" s="5" t="s">
        <v>163</v>
      </c>
      <c r="N21" s="5" t="s">
        <v>128</v>
      </c>
      <c r="O21" s="6" t="s">
        <v>113</v>
      </c>
      <c r="P21" s="6"/>
      <c r="Q21" s="7"/>
      <c r="R21" s="7"/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0</v>
      </c>
      <c r="AA21" s="8">
        <v>0</v>
      </c>
      <c r="AB21" s="8">
        <v>5000</v>
      </c>
      <c r="AC21" s="8">
        <v>5000</v>
      </c>
      <c r="AD21" s="8">
        <v>5</v>
      </c>
      <c r="AE21" s="8">
        <v>0</v>
      </c>
      <c r="AF21" s="8">
        <v>0</v>
      </c>
      <c r="AG21" s="8">
        <v>0</v>
      </c>
      <c r="AH21" s="8">
        <v>0</v>
      </c>
      <c r="AI21" s="8">
        <v>5000</v>
      </c>
      <c r="AJ21" s="8">
        <v>5000</v>
      </c>
      <c r="AK21" s="8">
        <v>5</v>
      </c>
      <c r="AL21" s="8">
        <v>0</v>
      </c>
      <c r="AM21" s="8">
        <v>0</v>
      </c>
      <c r="AN21" s="8">
        <v>0</v>
      </c>
      <c r="AO21" s="8">
        <v>0</v>
      </c>
      <c r="AP21" s="8">
        <v>5000</v>
      </c>
      <c r="AQ21" s="8">
        <v>5000</v>
      </c>
      <c r="AR21" s="8">
        <v>5</v>
      </c>
      <c r="AS21" s="8">
        <v>0</v>
      </c>
      <c r="AT21" s="8">
        <v>0</v>
      </c>
      <c r="AU21" s="8">
        <v>0</v>
      </c>
      <c r="AV21" s="8">
        <v>0</v>
      </c>
      <c r="AW21" s="8">
        <v>5000</v>
      </c>
      <c r="AX21" s="8">
        <v>5000</v>
      </c>
      <c r="AY21" s="8">
        <v>5</v>
      </c>
      <c r="AZ21" s="8">
        <v>0</v>
      </c>
      <c r="BA21" s="8">
        <v>0</v>
      </c>
      <c r="BB21" s="8">
        <v>0</v>
      </c>
      <c r="BC21" s="8">
        <v>0</v>
      </c>
      <c r="BD21" s="8">
        <v>5000</v>
      </c>
      <c r="BE21" s="8">
        <v>5000</v>
      </c>
      <c r="BF21" s="8">
        <v>5</v>
      </c>
      <c r="BG21" s="8">
        <v>0</v>
      </c>
      <c r="BH21" s="8">
        <v>0</v>
      </c>
      <c r="BI21" s="8">
        <v>0</v>
      </c>
      <c r="BJ21" s="8">
        <v>0</v>
      </c>
      <c r="BK21" s="8">
        <v>5000</v>
      </c>
      <c r="BL21" s="8">
        <v>5000</v>
      </c>
      <c r="BM21" s="8">
        <v>5</v>
      </c>
      <c r="BN21" s="8">
        <v>0</v>
      </c>
      <c r="BO21" s="8">
        <v>0</v>
      </c>
      <c r="BP21" s="8">
        <v>5000</v>
      </c>
      <c r="BQ21" s="8">
        <v>5000</v>
      </c>
      <c r="BR21" s="8">
        <v>5</v>
      </c>
      <c r="BS21" s="8">
        <v>0</v>
      </c>
      <c r="BT21" s="8">
        <v>0</v>
      </c>
      <c r="BU21" s="8">
        <v>5000</v>
      </c>
      <c r="BV21" s="8">
        <v>5000</v>
      </c>
      <c r="BW21" s="8">
        <v>5</v>
      </c>
      <c r="BX21" s="8">
        <v>0</v>
      </c>
      <c r="BY21" s="8">
        <v>0</v>
      </c>
      <c r="BZ21" s="8">
        <v>5000</v>
      </c>
      <c r="CA21" s="8">
        <v>5000</v>
      </c>
      <c r="CB21" s="8">
        <v>5</v>
      </c>
      <c r="CC21" s="8">
        <v>0</v>
      </c>
      <c r="CD21" s="8">
        <v>0</v>
      </c>
      <c r="CE21" s="8">
        <v>5000</v>
      </c>
      <c r="CF21" s="8">
        <v>5000</v>
      </c>
      <c r="CG21" s="8">
        <v>5</v>
      </c>
      <c r="CH21" s="8">
        <v>0</v>
      </c>
      <c r="CI21" s="8">
        <v>0</v>
      </c>
      <c r="CJ21" s="8">
        <v>5000</v>
      </c>
      <c r="CK21" s="8">
        <v>5000</v>
      </c>
      <c r="CL21" s="8">
        <v>5</v>
      </c>
      <c r="CM21" s="8">
        <v>0</v>
      </c>
      <c r="CN21" s="8">
        <v>0</v>
      </c>
      <c r="CO21" s="8">
        <v>0</v>
      </c>
      <c r="CP21" s="9">
        <v>55000</v>
      </c>
      <c r="CQ21" s="9">
        <v>55000</v>
      </c>
      <c r="CR21" s="8">
        <v>4.5999999999999996</v>
      </c>
      <c r="CS21" s="8">
        <v>0</v>
      </c>
      <c r="CT21" s="8">
        <v>0</v>
      </c>
      <c r="CU21" s="8">
        <v>0</v>
      </c>
      <c r="CV21" s="8">
        <v>-55000</v>
      </c>
      <c r="CW21" s="8">
        <v>-55000</v>
      </c>
      <c r="CX21" s="8">
        <v>0</v>
      </c>
      <c r="CY21" s="8">
        <v>0</v>
      </c>
      <c r="CZ21" s="8">
        <v>0</v>
      </c>
      <c r="DA21" s="8">
        <v>0</v>
      </c>
      <c r="DB21" s="8">
        <v>55000</v>
      </c>
      <c r="DC21" s="8">
        <v>55000</v>
      </c>
    </row>
    <row r="22" spans="1:107">
      <c r="A22" s="10"/>
      <c r="B22" s="10"/>
      <c r="C22" s="11" t="s">
        <v>105</v>
      </c>
      <c r="D22" s="11" t="s">
        <v>106</v>
      </c>
      <c r="E22" s="11" t="s">
        <v>124</v>
      </c>
      <c r="F22" s="11" t="s">
        <v>167</v>
      </c>
      <c r="G22" s="11"/>
      <c r="H22" s="11" t="s">
        <v>168</v>
      </c>
      <c r="I22" s="11" t="s">
        <v>168</v>
      </c>
      <c r="J22" s="11" t="s">
        <v>109</v>
      </c>
      <c r="K22" s="11" t="s">
        <v>168</v>
      </c>
      <c r="L22" s="11" t="s">
        <v>168</v>
      </c>
      <c r="M22" s="11" t="s">
        <v>163</v>
      </c>
      <c r="N22" s="11" t="s">
        <v>128</v>
      </c>
      <c r="O22" s="12" t="s">
        <v>113</v>
      </c>
      <c r="P22" s="12"/>
      <c r="Q22" s="13"/>
      <c r="R22" s="13"/>
      <c r="S22" s="14">
        <v>0</v>
      </c>
      <c r="T22" s="14">
        <v>0</v>
      </c>
      <c r="U22" s="8">
        <v>0</v>
      </c>
      <c r="V22" s="8">
        <v>0</v>
      </c>
      <c r="W22" s="14">
        <v>0</v>
      </c>
      <c r="X22" s="14">
        <v>0</v>
      </c>
      <c r="Y22" s="14">
        <v>0</v>
      </c>
      <c r="Z22" s="14">
        <v>0</v>
      </c>
      <c r="AA22" s="14">
        <v>0</v>
      </c>
      <c r="AB22" s="8">
        <v>0</v>
      </c>
      <c r="AC22" s="8">
        <v>0</v>
      </c>
      <c r="AD22" s="14">
        <v>0</v>
      </c>
      <c r="AE22" s="14">
        <v>0</v>
      </c>
      <c r="AF22" s="14">
        <v>0</v>
      </c>
      <c r="AG22" s="14">
        <v>0</v>
      </c>
      <c r="AH22" s="8">
        <v>0</v>
      </c>
      <c r="AI22" s="8">
        <v>0</v>
      </c>
      <c r="AJ22" s="8">
        <v>0</v>
      </c>
      <c r="AK22" s="14">
        <v>0</v>
      </c>
      <c r="AL22" s="14">
        <v>0</v>
      </c>
      <c r="AM22" s="14">
        <v>0</v>
      </c>
      <c r="AN22" s="14">
        <v>0</v>
      </c>
      <c r="AO22" s="8">
        <v>0</v>
      </c>
      <c r="AP22" s="8">
        <v>0</v>
      </c>
      <c r="AQ22" s="8">
        <v>0</v>
      </c>
      <c r="AR22" s="14">
        <v>0</v>
      </c>
      <c r="AS22" s="14">
        <v>0</v>
      </c>
      <c r="AT22" s="14">
        <v>0</v>
      </c>
      <c r="AU22" s="14">
        <v>0</v>
      </c>
      <c r="AV22" s="8">
        <v>0</v>
      </c>
      <c r="AW22" s="8">
        <v>0</v>
      </c>
      <c r="AX22" s="8">
        <v>0</v>
      </c>
      <c r="AY22" s="14">
        <v>0</v>
      </c>
      <c r="AZ22" s="14">
        <v>0</v>
      </c>
      <c r="BA22" s="14">
        <v>0</v>
      </c>
      <c r="BB22" s="14">
        <v>0</v>
      </c>
      <c r="BC22" s="8">
        <v>0</v>
      </c>
      <c r="BD22" s="8">
        <v>0</v>
      </c>
      <c r="BE22" s="8">
        <v>0</v>
      </c>
      <c r="BF22" s="14">
        <v>0</v>
      </c>
      <c r="BG22" s="14">
        <v>0</v>
      </c>
      <c r="BH22" s="14">
        <v>0</v>
      </c>
      <c r="BI22" s="14">
        <v>0</v>
      </c>
      <c r="BJ22" s="8">
        <v>0</v>
      </c>
      <c r="BK22" s="8">
        <v>0</v>
      </c>
      <c r="BL22" s="8">
        <v>0</v>
      </c>
      <c r="BM22" s="14">
        <v>0</v>
      </c>
      <c r="BN22" s="14">
        <v>0</v>
      </c>
      <c r="BO22" s="14">
        <v>0</v>
      </c>
      <c r="BP22" s="8">
        <v>0</v>
      </c>
      <c r="BQ22" s="8">
        <v>0</v>
      </c>
      <c r="BR22" s="14">
        <v>0</v>
      </c>
      <c r="BS22" s="14">
        <v>0</v>
      </c>
      <c r="BT22" s="14">
        <v>0</v>
      </c>
      <c r="BU22" s="8">
        <v>4000</v>
      </c>
      <c r="BV22" s="8">
        <v>4000</v>
      </c>
      <c r="BW22" s="14">
        <v>4</v>
      </c>
      <c r="BX22" s="14">
        <v>0</v>
      </c>
      <c r="BY22" s="14">
        <v>0</v>
      </c>
      <c r="BZ22" s="8">
        <v>4000</v>
      </c>
      <c r="CA22" s="8">
        <v>4000</v>
      </c>
      <c r="CB22" s="14">
        <v>4</v>
      </c>
      <c r="CC22" s="14">
        <v>0</v>
      </c>
      <c r="CD22" s="14">
        <v>0</v>
      </c>
      <c r="CE22" s="8">
        <v>4000</v>
      </c>
      <c r="CF22" s="8">
        <v>4000</v>
      </c>
      <c r="CG22" s="14">
        <v>4</v>
      </c>
      <c r="CH22" s="14">
        <v>0</v>
      </c>
      <c r="CI22" s="14">
        <v>0</v>
      </c>
      <c r="CJ22" s="8">
        <v>4000</v>
      </c>
      <c r="CK22" s="8">
        <v>4000</v>
      </c>
      <c r="CL22" s="14">
        <v>4</v>
      </c>
      <c r="CM22" s="14">
        <v>0</v>
      </c>
      <c r="CN22" s="14">
        <v>0</v>
      </c>
      <c r="CO22" s="14">
        <v>0</v>
      </c>
      <c r="CP22" s="9">
        <v>16000</v>
      </c>
      <c r="CQ22" s="9">
        <v>16000</v>
      </c>
      <c r="CR22" s="14">
        <v>1.3</v>
      </c>
      <c r="CS22" s="14">
        <v>0</v>
      </c>
      <c r="CT22" s="14">
        <v>0</v>
      </c>
      <c r="CU22" s="14">
        <v>0</v>
      </c>
      <c r="CV22" s="8">
        <v>-16000</v>
      </c>
      <c r="CW22" s="8">
        <v>-16000</v>
      </c>
      <c r="CX22" s="14">
        <v>0</v>
      </c>
      <c r="CY22" s="14">
        <v>0</v>
      </c>
      <c r="CZ22" s="14">
        <v>0</v>
      </c>
      <c r="DA22" s="14">
        <v>0</v>
      </c>
      <c r="DB22" s="8">
        <v>16000</v>
      </c>
      <c r="DC22" s="8">
        <v>16000</v>
      </c>
    </row>
    <row r="23" spans="1:107">
      <c r="A23" s="24" t="s">
        <v>126</v>
      </c>
      <c r="B23" s="4"/>
      <c r="C23" s="5" t="s">
        <v>105</v>
      </c>
      <c r="D23" s="5" t="s">
        <v>106</v>
      </c>
      <c r="E23" s="5" t="s">
        <v>107</v>
      </c>
      <c r="F23" s="23" t="s">
        <v>169</v>
      </c>
      <c r="G23" s="5"/>
      <c r="H23" s="5" t="s">
        <v>170</v>
      </c>
      <c r="I23" s="5">
        <v>5841813202</v>
      </c>
      <c r="J23" s="5" t="s">
        <v>109</v>
      </c>
      <c r="K23" s="5" t="s">
        <v>170</v>
      </c>
      <c r="L23" s="5" t="s">
        <v>170</v>
      </c>
      <c r="M23" s="5" t="s">
        <v>163</v>
      </c>
      <c r="N23" s="5" t="s">
        <v>112</v>
      </c>
      <c r="O23" s="6" t="s">
        <v>113</v>
      </c>
      <c r="P23" s="6"/>
      <c r="Q23" s="7"/>
      <c r="R23" s="7"/>
      <c r="S23" s="8">
        <v>0</v>
      </c>
      <c r="T23" s="8">
        <v>0</v>
      </c>
      <c r="U23" s="8">
        <v>0</v>
      </c>
      <c r="V23" s="8">
        <v>0</v>
      </c>
      <c r="W23" s="8">
        <v>0</v>
      </c>
      <c r="X23" s="8">
        <v>0</v>
      </c>
      <c r="Y23" s="8">
        <v>0</v>
      </c>
      <c r="Z23" s="8">
        <v>0</v>
      </c>
      <c r="AA23" s="8">
        <v>0</v>
      </c>
      <c r="AB23" s="8">
        <v>0</v>
      </c>
      <c r="AC23" s="8">
        <v>0</v>
      </c>
      <c r="AD23" s="8">
        <v>0</v>
      </c>
      <c r="AE23" s="8">
        <v>0</v>
      </c>
      <c r="AF23" s="8">
        <v>0</v>
      </c>
      <c r="AG23" s="8">
        <v>0</v>
      </c>
      <c r="AH23" s="8">
        <v>0</v>
      </c>
      <c r="AI23" s="8">
        <v>0</v>
      </c>
      <c r="AJ23" s="8">
        <v>0</v>
      </c>
      <c r="AK23" s="8">
        <v>0</v>
      </c>
      <c r="AL23" s="8">
        <v>0</v>
      </c>
      <c r="AM23" s="8">
        <v>0</v>
      </c>
      <c r="AN23" s="8">
        <v>0</v>
      </c>
      <c r="AO23" s="8">
        <v>0</v>
      </c>
      <c r="AP23" s="8">
        <v>0</v>
      </c>
      <c r="AQ23" s="8">
        <v>0</v>
      </c>
      <c r="AR23" s="8">
        <v>0</v>
      </c>
      <c r="AS23" s="8">
        <v>0</v>
      </c>
      <c r="AT23" s="8">
        <v>0</v>
      </c>
      <c r="AU23" s="8">
        <v>0</v>
      </c>
      <c r="AV23" s="8">
        <v>0</v>
      </c>
      <c r="AW23" s="8">
        <v>0</v>
      </c>
      <c r="AX23" s="8">
        <v>0</v>
      </c>
      <c r="AY23" s="8">
        <v>0</v>
      </c>
      <c r="AZ23" s="8">
        <v>0</v>
      </c>
      <c r="BA23" s="8">
        <v>0</v>
      </c>
      <c r="BB23" s="8">
        <v>0</v>
      </c>
      <c r="BC23" s="8">
        <v>0</v>
      </c>
      <c r="BD23" s="8">
        <v>0</v>
      </c>
      <c r="BE23" s="8">
        <v>0</v>
      </c>
      <c r="BF23" s="8">
        <v>0</v>
      </c>
      <c r="BG23" s="8">
        <v>0</v>
      </c>
      <c r="BH23" s="8">
        <v>0</v>
      </c>
      <c r="BI23" s="8">
        <v>0</v>
      </c>
      <c r="BJ23" s="8">
        <v>0</v>
      </c>
      <c r="BK23" s="8">
        <v>0</v>
      </c>
      <c r="BL23" s="8">
        <v>0</v>
      </c>
      <c r="BM23" s="8">
        <v>0</v>
      </c>
      <c r="BN23" s="8">
        <v>0</v>
      </c>
      <c r="BO23" s="8">
        <v>0</v>
      </c>
      <c r="BP23" s="8">
        <v>4000</v>
      </c>
      <c r="BQ23" s="8">
        <v>4000</v>
      </c>
      <c r="BR23" s="8">
        <v>4</v>
      </c>
      <c r="BS23" s="8">
        <v>0</v>
      </c>
      <c r="BT23" s="8">
        <v>0</v>
      </c>
      <c r="BU23" s="8">
        <v>4000</v>
      </c>
      <c r="BV23" s="8">
        <v>4000</v>
      </c>
      <c r="BW23" s="8">
        <v>4</v>
      </c>
      <c r="BX23" s="8">
        <v>0</v>
      </c>
      <c r="BY23" s="8">
        <v>0</v>
      </c>
      <c r="BZ23" s="8">
        <v>4000</v>
      </c>
      <c r="CA23" s="8">
        <v>4000</v>
      </c>
      <c r="CB23" s="8">
        <v>4</v>
      </c>
      <c r="CC23" s="8">
        <v>0</v>
      </c>
      <c r="CD23" s="8">
        <v>0</v>
      </c>
      <c r="CE23" s="8">
        <v>4000</v>
      </c>
      <c r="CF23" s="8">
        <v>4000</v>
      </c>
      <c r="CG23" s="8">
        <v>4</v>
      </c>
      <c r="CH23" s="8">
        <v>0</v>
      </c>
      <c r="CI23" s="8">
        <v>0</v>
      </c>
      <c r="CJ23" s="8">
        <v>4000</v>
      </c>
      <c r="CK23" s="8">
        <v>4000</v>
      </c>
      <c r="CL23" s="8">
        <v>4</v>
      </c>
      <c r="CM23" s="8">
        <v>0</v>
      </c>
      <c r="CN23" s="8">
        <v>0</v>
      </c>
      <c r="CO23" s="8">
        <v>0</v>
      </c>
      <c r="CP23" s="9">
        <v>20000</v>
      </c>
      <c r="CQ23" s="9">
        <v>20000</v>
      </c>
      <c r="CR23" s="8">
        <v>2</v>
      </c>
      <c r="CS23" s="8">
        <v>0</v>
      </c>
      <c r="CT23" s="8">
        <v>0</v>
      </c>
      <c r="CU23" s="8">
        <v>0</v>
      </c>
      <c r="CV23" s="8">
        <v>-20000</v>
      </c>
      <c r="CW23" s="8">
        <v>-20000</v>
      </c>
      <c r="CX23" s="8">
        <v>0</v>
      </c>
      <c r="CY23" s="8">
        <v>0</v>
      </c>
      <c r="CZ23" s="8">
        <v>0</v>
      </c>
      <c r="DA23" s="8">
        <v>0</v>
      </c>
      <c r="DB23" s="8">
        <v>20000</v>
      </c>
      <c r="DC23" s="8">
        <v>20000</v>
      </c>
    </row>
    <row r="24" spans="1:107">
      <c r="A24" s="24" t="s">
        <v>126</v>
      </c>
      <c r="B24" s="4"/>
      <c r="C24" s="5" t="s">
        <v>105</v>
      </c>
      <c r="D24" s="5" t="s">
        <v>106</v>
      </c>
      <c r="E24" s="5" t="s">
        <v>107</v>
      </c>
      <c r="F24" s="23" t="s">
        <v>169</v>
      </c>
      <c r="G24" s="5"/>
      <c r="H24" s="5" t="s">
        <v>170</v>
      </c>
      <c r="I24" s="5">
        <v>5841813202</v>
      </c>
      <c r="J24" s="5" t="s">
        <v>109</v>
      </c>
      <c r="K24" s="5" t="s">
        <v>170</v>
      </c>
      <c r="L24" s="5" t="s">
        <v>170</v>
      </c>
      <c r="M24" s="5" t="s">
        <v>163</v>
      </c>
      <c r="N24" s="5" t="s">
        <v>112</v>
      </c>
      <c r="O24" s="6" t="s">
        <v>113</v>
      </c>
      <c r="P24" s="6"/>
      <c r="Q24" s="7"/>
      <c r="R24" s="7"/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v>0</v>
      </c>
      <c r="AB24" s="8">
        <v>0</v>
      </c>
      <c r="AC24" s="8">
        <v>0</v>
      </c>
      <c r="AD24" s="8">
        <v>0</v>
      </c>
      <c r="AE24" s="8">
        <v>0</v>
      </c>
      <c r="AF24" s="8">
        <v>0</v>
      </c>
      <c r="AG24" s="8">
        <v>0</v>
      </c>
      <c r="AH24" s="8">
        <v>0</v>
      </c>
      <c r="AI24" s="8">
        <v>0</v>
      </c>
      <c r="AJ24" s="8">
        <v>0</v>
      </c>
      <c r="AK24" s="8">
        <v>0</v>
      </c>
      <c r="AL24" s="8">
        <v>0</v>
      </c>
      <c r="AM24" s="8">
        <v>0</v>
      </c>
      <c r="AN24" s="8">
        <v>0</v>
      </c>
      <c r="AO24" s="8">
        <v>0</v>
      </c>
      <c r="AP24" s="8">
        <v>0</v>
      </c>
      <c r="AQ24" s="8">
        <v>0</v>
      </c>
      <c r="AR24" s="8">
        <v>0</v>
      </c>
      <c r="AS24" s="8">
        <v>0</v>
      </c>
      <c r="AT24" s="8">
        <v>0</v>
      </c>
      <c r="AU24" s="8">
        <v>0</v>
      </c>
      <c r="AV24" s="8">
        <v>0</v>
      </c>
      <c r="AW24" s="8">
        <v>0</v>
      </c>
      <c r="AX24" s="8">
        <v>0</v>
      </c>
      <c r="AY24" s="8">
        <v>0</v>
      </c>
      <c r="AZ24" s="8">
        <v>0</v>
      </c>
      <c r="BA24" s="8">
        <v>0</v>
      </c>
      <c r="BB24" s="8">
        <v>0</v>
      </c>
      <c r="BC24" s="8">
        <v>0</v>
      </c>
      <c r="BD24" s="8">
        <v>0</v>
      </c>
      <c r="BE24" s="8">
        <v>0</v>
      </c>
      <c r="BF24" s="8">
        <v>0</v>
      </c>
      <c r="BG24" s="8">
        <v>0</v>
      </c>
      <c r="BH24" s="8">
        <v>0</v>
      </c>
      <c r="BI24" s="8">
        <v>0</v>
      </c>
      <c r="BJ24" s="8">
        <v>0</v>
      </c>
      <c r="BK24" s="8">
        <v>0</v>
      </c>
      <c r="BL24" s="8">
        <v>0</v>
      </c>
      <c r="BM24" s="8">
        <v>0</v>
      </c>
      <c r="BN24" s="8">
        <v>0</v>
      </c>
      <c r="BO24" s="8">
        <v>0</v>
      </c>
      <c r="BP24" s="8">
        <v>4000</v>
      </c>
      <c r="BQ24" s="8">
        <v>4000</v>
      </c>
      <c r="BR24" s="8">
        <v>4</v>
      </c>
      <c r="BS24" s="8">
        <v>0</v>
      </c>
      <c r="BT24" s="8">
        <v>0</v>
      </c>
      <c r="BU24" s="8">
        <v>4000</v>
      </c>
      <c r="BV24" s="8">
        <v>4000</v>
      </c>
      <c r="BW24" s="8">
        <v>4</v>
      </c>
      <c r="BX24" s="8">
        <v>0</v>
      </c>
      <c r="BY24" s="8">
        <v>0</v>
      </c>
      <c r="BZ24" s="8">
        <v>4000</v>
      </c>
      <c r="CA24" s="8">
        <v>4000</v>
      </c>
      <c r="CB24" s="8">
        <v>4</v>
      </c>
      <c r="CC24" s="8">
        <v>0</v>
      </c>
      <c r="CD24" s="8">
        <v>0</v>
      </c>
      <c r="CE24" s="8">
        <v>4000</v>
      </c>
      <c r="CF24" s="8">
        <v>4000</v>
      </c>
      <c r="CG24" s="8">
        <v>4</v>
      </c>
      <c r="CH24" s="8">
        <v>0</v>
      </c>
      <c r="CI24" s="8">
        <v>0</v>
      </c>
      <c r="CJ24" s="8">
        <v>4000</v>
      </c>
      <c r="CK24" s="8">
        <v>4000</v>
      </c>
      <c r="CL24" s="8">
        <v>4</v>
      </c>
      <c r="CM24" s="8">
        <v>0</v>
      </c>
      <c r="CN24" s="8">
        <v>0</v>
      </c>
      <c r="CO24" s="8">
        <v>0</v>
      </c>
      <c r="CP24" s="9">
        <v>20000</v>
      </c>
      <c r="CQ24" s="9">
        <v>20000</v>
      </c>
      <c r="CR24" s="8">
        <v>2</v>
      </c>
      <c r="CS24" s="8">
        <v>0</v>
      </c>
      <c r="CT24" s="8">
        <v>0</v>
      </c>
      <c r="CU24" s="8">
        <v>0</v>
      </c>
      <c r="CV24" s="8">
        <v>-20000</v>
      </c>
      <c r="CW24" s="8">
        <v>-20000</v>
      </c>
      <c r="CX24" s="8">
        <v>0</v>
      </c>
      <c r="CY24" s="8">
        <v>0</v>
      </c>
      <c r="CZ24" s="8">
        <v>0</v>
      </c>
      <c r="DA24" s="8">
        <v>0</v>
      </c>
      <c r="DB24" s="8">
        <v>20000</v>
      </c>
      <c r="DC24" s="8">
        <v>20000</v>
      </c>
    </row>
    <row r="25" spans="1:107">
      <c r="A25" s="10"/>
      <c r="B25" s="25" t="s">
        <v>126</v>
      </c>
      <c r="C25" s="11" t="s">
        <v>105</v>
      </c>
      <c r="D25" s="11" t="s">
        <v>106</v>
      </c>
      <c r="E25" s="11" t="s">
        <v>107</v>
      </c>
      <c r="F25" s="23" t="s">
        <v>171</v>
      </c>
      <c r="G25" s="11"/>
      <c r="H25" s="11" t="s">
        <v>172</v>
      </c>
      <c r="I25" s="11">
        <v>5841813202</v>
      </c>
      <c r="J25" s="11" t="s">
        <v>109</v>
      </c>
      <c r="K25" s="11" t="s">
        <v>172</v>
      </c>
      <c r="L25" s="11" t="s">
        <v>172</v>
      </c>
      <c r="M25" s="11" t="s">
        <v>163</v>
      </c>
      <c r="N25" s="11" t="s">
        <v>112</v>
      </c>
      <c r="O25" s="12" t="s">
        <v>113</v>
      </c>
      <c r="P25" s="12"/>
      <c r="Q25" s="13"/>
      <c r="R25" s="13"/>
      <c r="S25" s="14">
        <v>0</v>
      </c>
      <c r="T25" s="14">
        <v>0</v>
      </c>
      <c r="U25" s="8">
        <v>0</v>
      </c>
      <c r="V25" s="8">
        <v>0</v>
      </c>
      <c r="W25" s="14">
        <v>0</v>
      </c>
      <c r="X25" s="14">
        <v>0</v>
      </c>
      <c r="Y25" s="14">
        <v>0</v>
      </c>
      <c r="Z25" s="14">
        <v>0</v>
      </c>
      <c r="AA25" s="14">
        <v>0</v>
      </c>
      <c r="AB25" s="8">
        <v>0</v>
      </c>
      <c r="AC25" s="8">
        <v>0</v>
      </c>
      <c r="AD25" s="14">
        <v>0</v>
      </c>
      <c r="AE25" s="14">
        <v>0</v>
      </c>
      <c r="AF25" s="14">
        <v>0</v>
      </c>
      <c r="AG25" s="14">
        <v>0</v>
      </c>
      <c r="AH25" s="8">
        <v>0</v>
      </c>
      <c r="AI25" s="8">
        <v>0</v>
      </c>
      <c r="AJ25" s="8">
        <v>0</v>
      </c>
      <c r="AK25" s="14">
        <v>0</v>
      </c>
      <c r="AL25" s="14">
        <v>0</v>
      </c>
      <c r="AM25" s="14">
        <v>0</v>
      </c>
      <c r="AN25" s="14">
        <v>0</v>
      </c>
      <c r="AO25" s="8">
        <v>0</v>
      </c>
      <c r="AP25" s="8">
        <v>0</v>
      </c>
      <c r="AQ25" s="8">
        <v>0</v>
      </c>
      <c r="AR25" s="14">
        <v>0</v>
      </c>
      <c r="AS25" s="14">
        <v>0</v>
      </c>
      <c r="AT25" s="14">
        <v>0</v>
      </c>
      <c r="AU25" s="14">
        <v>0</v>
      </c>
      <c r="AV25" s="8">
        <v>0</v>
      </c>
      <c r="AW25" s="8">
        <v>0</v>
      </c>
      <c r="AX25" s="8">
        <v>0</v>
      </c>
      <c r="AY25" s="14">
        <v>0</v>
      </c>
      <c r="AZ25" s="14">
        <v>0</v>
      </c>
      <c r="BA25" s="14">
        <v>0</v>
      </c>
      <c r="BB25" s="14">
        <v>0</v>
      </c>
      <c r="BC25" s="8">
        <v>0</v>
      </c>
      <c r="BD25" s="8">
        <v>0</v>
      </c>
      <c r="BE25" s="8">
        <v>0</v>
      </c>
      <c r="BF25" s="14">
        <v>0</v>
      </c>
      <c r="BG25" s="14">
        <v>0</v>
      </c>
      <c r="BH25" s="14">
        <v>0</v>
      </c>
      <c r="BI25" s="14">
        <v>0</v>
      </c>
      <c r="BJ25" s="8">
        <v>0</v>
      </c>
      <c r="BK25" s="8">
        <v>0</v>
      </c>
      <c r="BL25" s="8">
        <v>0</v>
      </c>
      <c r="BM25" s="14">
        <v>0</v>
      </c>
      <c r="BN25" s="14">
        <v>0</v>
      </c>
      <c r="BO25" s="14">
        <v>0</v>
      </c>
      <c r="BP25" s="8">
        <v>4000</v>
      </c>
      <c r="BQ25" s="8">
        <v>4000</v>
      </c>
      <c r="BR25" s="14">
        <v>4</v>
      </c>
      <c r="BS25" s="14">
        <v>0</v>
      </c>
      <c r="BT25" s="14">
        <v>0</v>
      </c>
      <c r="BU25" s="8">
        <v>4000</v>
      </c>
      <c r="BV25" s="8">
        <v>4000</v>
      </c>
      <c r="BW25" s="14">
        <v>4</v>
      </c>
      <c r="BX25" s="14">
        <v>0</v>
      </c>
      <c r="BY25" s="14">
        <v>0</v>
      </c>
      <c r="BZ25" s="8">
        <v>4000</v>
      </c>
      <c r="CA25" s="8">
        <v>4000</v>
      </c>
      <c r="CB25" s="14">
        <v>4</v>
      </c>
      <c r="CC25" s="14">
        <v>0</v>
      </c>
      <c r="CD25" s="14">
        <v>0</v>
      </c>
      <c r="CE25" s="8">
        <v>4000</v>
      </c>
      <c r="CF25" s="8">
        <v>4000</v>
      </c>
      <c r="CG25" s="14">
        <v>4</v>
      </c>
      <c r="CH25" s="14">
        <v>0</v>
      </c>
      <c r="CI25" s="14">
        <v>0</v>
      </c>
      <c r="CJ25" s="8">
        <v>4000</v>
      </c>
      <c r="CK25" s="8">
        <v>4000</v>
      </c>
      <c r="CL25" s="14">
        <v>4</v>
      </c>
      <c r="CM25" s="14">
        <v>0</v>
      </c>
      <c r="CN25" s="14">
        <v>0</v>
      </c>
      <c r="CO25" s="14">
        <v>0</v>
      </c>
      <c r="CP25" s="9">
        <v>20000</v>
      </c>
      <c r="CQ25" s="9">
        <v>20000</v>
      </c>
      <c r="CR25" s="14">
        <v>2</v>
      </c>
      <c r="CS25" s="14">
        <v>0</v>
      </c>
      <c r="CT25" s="14">
        <v>0</v>
      </c>
      <c r="CU25" s="14">
        <v>0</v>
      </c>
      <c r="CV25" s="8">
        <v>-20000</v>
      </c>
      <c r="CW25" s="8">
        <v>-20000</v>
      </c>
      <c r="CX25" s="14">
        <v>0</v>
      </c>
      <c r="CY25" s="14">
        <v>0</v>
      </c>
      <c r="CZ25" s="14">
        <v>0</v>
      </c>
      <c r="DA25" s="14">
        <v>0</v>
      </c>
      <c r="DB25" s="8">
        <v>20000</v>
      </c>
      <c r="DC25" s="8">
        <v>20000</v>
      </c>
    </row>
    <row r="26" spans="1:107">
      <c r="A26" s="10"/>
      <c r="B26" s="25" t="s">
        <v>126</v>
      </c>
      <c r="C26" s="11" t="s">
        <v>105</v>
      </c>
      <c r="D26" s="11" t="s">
        <v>106</v>
      </c>
      <c r="E26" s="11" t="s">
        <v>107</v>
      </c>
      <c r="F26" s="23" t="s">
        <v>171</v>
      </c>
      <c r="G26" s="11"/>
      <c r="H26" s="11" t="s">
        <v>172</v>
      </c>
      <c r="I26" s="11">
        <v>5841813202</v>
      </c>
      <c r="J26" s="11" t="s">
        <v>109</v>
      </c>
      <c r="K26" s="11" t="s">
        <v>172</v>
      </c>
      <c r="L26" s="11" t="s">
        <v>172</v>
      </c>
      <c r="M26" s="11" t="s">
        <v>163</v>
      </c>
      <c r="N26" s="11" t="s">
        <v>112</v>
      </c>
      <c r="O26" s="12" t="s">
        <v>113</v>
      </c>
      <c r="P26" s="12"/>
      <c r="Q26" s="13"/>
      <c r="R26" s="13"/>
      <c r="S26" s="14">
        <v>0</v>
      </c>
      <c r="T26" s="14">
        <v>0</v>
      </c>
      <c r="U26" s="8">
        <v>0</v>
      </c>
      <c r="V26" s="8">
        <v>0</v>
      </c>
      <c r="W26" s="14">
        <v>0</v>
      </c>
      <c r="X26" s="14">
        <v>0</v>
      </c>
      <c r="Y26" s="14">
        <v>0</v>
      </c>
      <c r="Z26" s="14">
        <v>0</v>
      </c>
      <c r="AA26" s="14">
        <v>0</v>
      </c>
      <c r="AB26" s="8">
        <v>0</v>
      </c>
      <c r="AC26" s="8">
        <v>0</v>
      </c>
      <c r="AD26" s="14">
        <v>0</v>
      </c>
      <c r="AE26" s="14">
        <v>0</v>
      </c>
      <c r="AF26" s="14">
        <v>0</v>
      </c>
      <c r="AG26" s="14">
        <v>0</v>
      </c>
      <c r="AH26" s="8">
        <v>0</v>
      </c>
      <c r="AI26" s="8">
        <v>0</v>
      </c>
      <c r="AJ26" s="8">
        <v>0</v>
      </c>
      <c r="AK26" s="14">
        <v>0</v>
      </c>
      <c r="AL26" s="14">
        <v>0</v>
      </c>
      <c r="AM26" s="14">
        <v>0</v>
      </c>
      <c r="AN26" s="14">
        <v>0</v>
      </c>
      <c r="AO26" s="8">
        <v>0</v>
      </c>
      <c r="AP26" s="8">
        <v>0</v>
      </c>
      <c r="AQ26" s="8">
        <v>0</v>
      </c>
      <c r="AR26" s="14">
        <v>0</v>
      </c>
      <c r="AS26" s="14">
        <v>0</v>
      </c>
      <c r="AT26" s="14">
        <v>0</v>
      </c>
      <c r="AU26" s="14">
        <v>0</v>
      </c>
      <c r="AV26" s="8">
        <v>0</v>
      </c>
      <c r="AW26" s="8">
        <v>0</v>
      </c>
      <c r="AX26" s="8">
        <v>0</v>
      </c>
      <c r="AY26" s="14">
        <v>0</v>
      </c>
      <c r="AZ26" s="14">
        <v>0</v>
      </c>
      <c r="BA26" s="14">
        <v>0</v>
      </c>
      <c r="BB26" s="14">
        <v>0</v>
      </c>
      <c r="BC26" s="8">
        <v>0</v>
      </c>
      <c r="BD26" s="8">
        <v>0</v>
      </c>
      <c r="BE26" s="8">
        <v>0</v>
      </c>
      <c r="BF26" s="14">
        <v>0</v>
      </c>
      <c r="BG26" s="14">
        <v>0</v>
      </c>
      <c r="BH26" s="14">
        <v>0</v>
      </c>
      <c r="BI26" s="14">
        <v>0</v>
      </c>
      <c r="BJ26" s="8">
        <v>0</v>
      </c>
      <c r="BK26" s="8">
        <v>0</v>
      </c>
      <c r="BL26" s="8">
        <v>0</v>
      </c>
      <c r="BM26" s="14">
        <v>0</v>
      </c>
      <c r="BN26" s="14">
        <v>0</v>
      </c>
      <c r="BO26" s="14">
        <v>0</v>
      </c>
      <c r="BP26" s="8">
        <v>4000</v>
      </c>
      <c r="BQ26" s="8">
        <v>4000</v>
      </c>
      <c r="BR26" s="14">
        <v>4</v>
      </c>
      <c r="BS26" s="14">
        <v>0</v>
      </c>
      <c r="BT26" s="14">
        <v>0</v>
      </c>
      <c r="BU26" s="8">
        <v>4000</v>
      </c>
      <c r="BV26" s="8">
        <v>4000</v>
      </c>
      <c r="BW26" s="14">
        <v>4</v>
      </c>
      <c r="BX26" s="14">
        <v>0</v>
      </c>
      <c r="BY26" s="14">
        <v>0</v>
      </c>
      <c r="BZ26" s="8">
        <v>4000</v>
      </c>
      <c r="CA26" s="8">
        <v>4000</v>
      </c>
      <c r="CB26" s="14">
        <v>4</v>
      </c>
      <c r="CC26" s="14">
        <v>0</v>
      </c>
      <c r="CD26" s="14">
        <v>0</v>
      </c>
      <c r="CE26" s="8">
        <v>4000</v>
      </c>
      <c r="CF26" s="8">
        <v>4000</v>
      </c>
      <c r="CG26" s="14">
        <v>4</v>
      </c>
      <c r="CH26" s="14">
        <v>0</v>
      </c>
      <c r="CI26" s="14">
        <v>0</v>
      </c>
      <c r="CJ26" s="8">
        <v>4000</v>
      </c>
      <c r="CK26" s="8">
        <v>4000</v>
      </c>
      <c r="CL26" s="14">
        <v>4</v>
      </c>
      <c r="CM26" s="14">
        <v>0</v>
      </c>
      <c r="CN26" s="14">
        <v>0</v>
      </c>
      <c r="CO26" s="14">
        <v>0</v>
      </c>
      <c r="CP26" s="9">
        <v>20000</v>
      </c>
      <c r="CQ26" s="9">
        <v>20000</v>
      </c>
      <c r="CR26" s="14">
        <v>2</v>
      </c>
      <c r="CS26" s="14">
        <v>0</v>
      </c>
      <c r="CT26" s="14">
        <v>0</v>
      </c>
      <c r="CU26" s="14">
        <v>0</v>
      </c>
      <c r="CV26" s="8">
        <v>-20000</v>
      </c>
      <c r="CW26" s="8">
        <v>-20000</v>
      </c>
      <c r="CX26" s="14">
        <v>0</v>
      </c>
      <c r="CY26" s="14">
        <v>0</v>
      </c>
      <c r="CZ26" s="14">
        <v>0</v>
      </c>
      <c r="DA26" s="14">
        <v>0</v>
      </c>
      <c r="DB26" s="8">
        <v>20000</v>
      </c>
      <c r="DC26" s="8">
        <v>20000</v>
      </c>
    </row>
    <row r="27" spans="1:107">
      <c r="A27" s="10"/>
      <c r="B27" s="25"/>
      <c r="C27" s="11"/>
      <c r="D27" s="11" t="s">
        <v>173</v>
      </c>
      <c r="E27" s="11"/>
      <c r="F27" s="23"/>
      <c r="G27" s="11"/>
      <c r="H27" s="11"/>
      <c r="I27" s="11"/>
      <c r="J27" s="11"/>
      <c r="K27" s="11"/>
      <c r="L27" s="11"/>
      <c r="M27" s="11"/>
      <c r="N27" s="11"/>
      <c r="O27" s="12"/>
      <c r="P27" s="12"/>
      <c r="Q27" s="13"/>
      <c r="R27" s="13"/>
      <c r="S27" s="14">
        <f>SUM($S$3,$S$4,$S$5,$S$6,$S$7,$S$8,$S$9,$S$10,$S$11,$S$12,$S$13,$S$14,$S$15,$S$16,$S$17,$S$18,$S$19,$S$22)</f>
        <v>0</v>
      </c>
      <c r="T27" s="14">
        <f>SUM($T$3,$T$4,$T$5,$T$6,$T$7,$T$8,$T$9,$T$10,$T$11,$T$12,$T$13,$T$14,$T$15,$T$16,$T$17,$T$18,$T$19,$T$22)</f>
        <v>0</v>
      </c>
      <c r="U27" s="8">
        <f>SUM($U$3,$U$4,$U$5,$U$6,$U$7,$U$8,$U$9,$U$10,$U$11,$U$12,$U$13,$U$14,$U$15,$U$16,$U$17,$U$18,$U$19,$U$22)</f>
        <v>75000</v>
      </c>
      <c r="V27" s="8">
        <f>SUM($V$3,$V$4,$V$5,$V$6,$V$7,$V$8,$V$9,$V$10,$V$11,$V$12,$V$13,$V$14,$V$15,$V$16,$V$17,$V$18,$V$19,$V$22)</f>
        <v>75000</v>
      </c>
      <c r="W27" s="14">
        <f>SUM($W$3,$W$4,$W$5,$W$6,$W$7,$W$8,$W$9,$W$10,$W$11,$W$12,$W$13,$W$14,$W$15,$W$16,$W$17,$W$18,$W$19,$W$22)</f>
        <v>75</v>
      </c>
      <c r="X27" s="14">
        <f>SUM($X$3,$X$4,$X$5,$X$6,$X$7,$X$8,$X$9,$X$10,$X$11,$X$12,$X$13,$X$14,$X$15,$X$16,$X$17,$X$18,$X$19,$X$22)</f>
        <v>0</v>
      </c>
      <c r="Y27" s="14">
        <f>SUM($Y$3,$Y$4,$Y$5,$Y$6,$Y$7,$Y$8,$Y$9,$Y$10,$Y$11,$Y$12,$Y$13,$Y$14,$Y$15,$Y$16,$Y$17,$Y$18,$Y$19,$Y$22)</f>
        <v>0</v>
      </c>
      <c r="Z27" s="14">
        <f>SUM($Z$3,$Z$4,$Z$5,$Z$6,$Z$7,$Z$8,$Z$9,$Z$10,$Z$11,$Z$12,$Z$13,$Z$14,$Z$15,$Z$16,$Z$17,$Z$18,$Z$19,$Z$22)</f>
        <v>0</v>
      </c>
      <c r="AA27" s="14">
        <f>SUM($AA$3,$AA$4,$AA$5,$AA$6,$AA$7,$AA$8,$AA$9,$AA$10,$AA$11,$AA$12,$AA$13,$AA$14,$AA$15,$AA$16,$AA$17,$AA$18,$AA$19,$AA$22)</f>
        <v>0</v>
      </c>
      <c r="AB27" s="8">
        <f>SUM($AB$3,$AB$4,$AB$5,$AB$6,$AB$7,$AB$8,$AB$9,$AB$10,$AB$11,$AB$12,$AB$13,$AB$14,$AB$15,$AB$16,$AB$17,$AB$18,$AB$19,$AB$22)</f>
        <v>78000</v>
      </c>
      <c r="AC27" s="8">
        <f>SUM($AC$3,$AC$4,$AC$5,$AC$6,$AC$7,$AC$8,$AC$9,$AC$10,$AC$11,$AC$12,$AC$13,$AC$14,$AC$15,$AC$16,$AC$17,$AC$18,$AC$19,$AC$22)</f>
        <v>78000</v>
      </c>
      <c r="AD27" s="14">
        <f>SUM($AD$3,$AD$4,$AD$5,$AD$6,$AD$7,$AD$8,$AD$9,$AD$10,$AD$11,$AD$12,$AD$13,$AD$14,$AD$15,$AD$16,$AD$17,$AD$18,$AD$19,$AD$22)</f>
        <v>78</v>
      </c>
      <c r="AE27" s="14">
        <f>SUM($AE$3,$AE$4,$AE$5,$AE$6,$AE$7,$AE$8,$AE$9,$AE$10,$AE$11,$AE$12,$AE$13,$AE$14,$AE$15,$AE$16,$AE$17,$AE$18,$AE$19,$AE$22)</f>
        <v>0</v>
      </c>
      <c r="AF27" s="14">
        <f>SUM($AF$3,$AF$4,$AF$5,$AF$6,$AF$7,$AF$8,$AF$9,$AF$10,$AF$11,$AF$12,$AF$13,$AF$14,$AF$15,$AF$16,$AF$17,$AF$18,$AF$19,$AF$22)</f>
        <v>0</v>
      </c>
      <c r="AG27" s="14">
        <f>SUM($AG$3,$AG$4,$AG$5,$AG$6,$AG$7,$AG$8,$AG$9,$AG$10,$AG$11,$AG$12,$AG$13,$AG$14,$AG$15,$AG$16,$AG$17,$AG$18,$AG$19,$AG$22)</f>
        <v>0</v>
      </c>
      <c r="AH27" s="8">
        <f>SUM($AH$3,$AH$4,$AH$5,$AH$6,$AH$7,$AH$8,$AH$9,$AH$10,$AH$11,$AH$12,$AH$13,$AH$14,$AH$15,$AH$16,$AH$17,$AH$18,$AH$19,$AH$22)</f>
        <v>0</v>
      </c>
      <c r="AI27" s="8">
        <f>SUM($AI$3,$AI$4,$AI$5,$AI$6,$AI$7,$AI$8,$AI$9,$AI$10,$AI$11,$AI$12,$AI$13,$AI$14,$AI$15,$AI$16,$AI$17,$AI$18,$AI$19,$AI$22)</f>
        <v>80000</v>
      </c>
      <c r="AJ27" s="8">
        <f>SUM($AJ$3,$AJ$4,$AJ$5,$AJ$6,$AJ$7,$AJ$8,$AJ$9,$AJ$10,$AJ$11,$AJ$12,$AJ$13,$AJ$14,$AJ$15,$AJ$16,$AJ$17,$AJ$18,$AJ$19,$AJ$22)</f>
        <v>80000</v>
      </c>
      <c r="AK27" s="14">
        <f>SUM($AK$3,$AK$4,$AK$5,$AK$6,$AK$7,$AK$8,$AK$9,$AK$10,$AK$11,$AK$12,$AK$13,$AK$14,$AK$15,$AK$16,$AK$17,$AK$18,$AK$19,$AK$22)</f>
        <v>80</v>
      </c>
      <c r="AL27" s="14">
        <f>SUM($AL$3,$AL$4,$AL$5,$AL$6,$AL$7,$AL$8,$AL$9,$AL$10,$AL$11,$AL$12,$AL$13,$AL$14,$AL$15,$AL$16,$AL$17,$AL$18,$AL$19,$AL$22)</f>
        <v>0</v>
      </c>
      <c r="AM27" s="14">
        <f>SUM($AM$3,$AM$4,$AM$5,$AM$6,$AM$7,$AM$8,$AM$9,$AM$10,$AM$11,$AM$12,$AM$13,$AM$14,$AM$15,$AM$16,$AM$17,$AM$18,$AM$19,$AM$22)</f>
        <v>0</v>
      </c>
      <c r="AN27" s="14">
        <f>SUM($AN$3,$AN$4,$AN$5,$AN$6,$AN$7,$AN$8,$AN$9,$AN$10,$AN$11,$AN$12,$AN$13,$AN$14,$AN$15,$AN$16,$AN$17,$AN$18,$AN$19,$AN$22)</f>
        <v>0</v>
      </c>
      <c r="AO27" s="8">
        <f>SUM($AO$3,$AO$4,$AO$5,$AO$6,$AO$7,$AO$8,$AO$9,$AO$10,$AO$11,$AO$12,$AO$13,$AO$14,$AO$15,$AO$16,$AO$17,$AO$18,$AO$19,$AO$22)</f>
        <v>0</v>
      </c>
      <c r="AP27" s="8">
        <f>SUM($AP$3,$AP$4,$AP$5,$AP$6,$AP$7,$AP$8,$AP$9,$AP$10,$AP$11,$AP$12,$AP$13,$AP$14,$AP$15,$AP$16,$AP$17,$AP$18,$AP$19,$AP$22)</f>
        <v>86000</v>
      </c>
      <c r="AQ27" s="8">
        <f>SUM($AQ$3,$AQ$4,$AQ$5,$AQ$6,$AQ$7,$AQ$8,$AQ$9,$AQ$10,$AQ$11,$AQ$12,$AQ$13,$AQ$14,$AQ$15,$AQ$16,$AQ$17,$AQ$18,$AQ$19,$AQ$22)</f>
        <v>86000</v>
      </c>
      <c r="AR27" s="14">
        <f>SUM($AR$3,$AR$4,$AR$5,$AR$6,$AR$7,$AR$8,$AR$9,$AR$10,$AR$11,$AR$12,$AR$13,$AR$14,$AR$15,$AR$16,$AR$17,$AR$18,$AR$19,$AR$22)</f>
        <v>86</v>
      </c>
      <c r="AS27" s="14">
        <f>SUM($AS$3,$AS$4,$AS$5,$AS$6,$AS$7,$AS$8,$AS$9,$AS$10,$AS$11,$AS$12,$AS$13,$AS$14,$AS$15,$AS$16,$AS$17,$AS$18,$AS$19,$AS$22)</f>
        <v>0</v>
      </c>
      <c r="AT27" s="14">
        <f>SUM($AT$3,$AT$4,$AT$5,$AT$6,$AT$7,$AT$8,$AT$9,$AT$10,$AT$11,$AT$12,$AT$13,$AT$14,$AT$15,$AT$16,$AT$17,$AT$18,$AT$19,$AT$22)</f>
        <v>0</v>
      </c>
      <c r="AU27" s="14">
        <f>SUM($AU$3,$AU$4,$AU$5,$AU$6,$AU$7,$AU$8,$AU$9,$AU$10,$AU$11,$AU$12,$AU$13,$AU$14,$AU$15,$AU$16,$AU$17,$AU$18,$AU$19,$AU$22)</f>
        <v>0</v>
      </c>
      <c r="AV27" s="8">
        <f>SUM($AV$3,$AV$4,$AV$5,$AV$6,$AV$7,$AV$8,$AV$9,$AV$10,$AV$11,$AV$12,$AV$13,$AV$14,$AV$15,$AV$16,$AV$17,$AV$18,$AV$19,$AV$22)</f>
        <v>0</v>
      </c>
      <c r="AW27" s="8">
        <f>SUM($AW$3,$AW$4,$AW$5,$AW$6,$AW$7,$AW$8,$AW$9,$AW$10,$AW$11,$AW$12,$AW$13,$AW$14,$AW$15,$AW$16,$AW$17,$AW$18,$AW$19,$AW$22)</f>
        <v>86000</v>
      </c>
      <c r="AX27" s="8">
        <f>SUM($AX$3,$AX$4,$AX$5,$AX$6,$AX$7,$AX$8,$AX$9,$AX$10,$AX$11,$AX$12,$AX$13,$AX$14,$AX$15,$AX$16,$AX$17,$AX$18,$AX$19,$AX$22)</f>
        <v>86000</v>
      </c>
      <c r="AY27" s="14">
        <f>SUM($AY$3,$AY$4,$AY$5,$AY$6,$AY$7,$AY$8,$AY$9,$AY$10,$AY$11,$AY$12,$AY$13,$AY$14,$AY$15,$AY$16,$AY$17,$AY$18,$AY$19,$AY$22)</f>
        <v>86</v>
      </c>
      <c r="AZ27" s="14">
        <f>SUM($AZ$3,$AZ$4,$AZ$5,$AZ$6,$AZ$7,$AZ$8,$AZ$9,$AZ$10,$AZ$11,$AZ$12,$AZ$13,$AZ$14,$AZ$15,$AZ$16,$AZ$17,$AZ$18,$AZ$19,$AZ$22)</f>
        <v>212.75</v>
      </c>
      <c r="BA27" s="14">
        <f>SUM($BA$3,$BA$4,$BA$5,$BA$6,$BA$7,$BA$8,$BA$9,$BA$10,$BA$11,$BA$12,$BA$13,$BA$14,$BA$15,$BA$16,$BA$17,$BA$18,$BA$19,$BA$22)</f>
        <v>0</v>
      </c>
      <c r="BB27" s="14">
        <f>SUM($BB$3,$BB$4,$BB$5,$BB$6,$BB$7,$BB$8,$BB$9,$BB$10,$BB$11,$BB$12,$BB$13,$BB$14,$BB$15,$BB$16,$BB$17,$BB$18,$BB$19,$BB$22)</f>
        <v>0</v>
      </c>
      <c r="BC27" s="8">
        <f>SUM($BC$3,$BC$4,$BC$5,$BC$6,$BC$7,$BC$8,$BC$9,$BC$10,$BC$11,$BC$12,$BC$13,$BC$14,$BC$15,$BC$16,$BC$17,$BC$18,$BC$19,$BC$22)</f>
        <v>0</v>
      </c>
      <c r="BD27" s="8">
        <f>SUM($BD$3,$BD$4,$BD$5,$BD$6,$BD$7,$BD$8,$BD$9,$BD$10,$BD$11,$BD$12,$BD$13,$BD$14,$BD$15,$BD$16,$BD$17,$BD$18,$BD$19,$BD$22)</f>
        <v>89000</v>
      </c>
      <c r="BE27" s="8">
        <f>SUM($BE$3,$BE$4,$BE$5,$BE$6,$BE$7,$BE$8,$BE$9,$BE$10,$BE$11,$BE$12,$BE$13,$BE$14,$BE$15,$BE$16,$BE$17,$BE$18,$BE$19,$BE$22)</f>
        <v>89000</v>
      </c>
      <c r="BF27" s="14">
        <f>SUM($BF$3,$BF$4,$BF$5,$BF$6,$BF$7,$BF$8,$BF$9,$BF$10,$BF$11,$BF$12,$BF$13,$BF$14,$BF$15,$BF$16,$BF$17,$BF$18,$BF$19,$BF$22)</f>
        <v>89</v>
      </c>
      <c r="BG27" s="14">
        <f>SUM($BG$3,$BG$4,$BG$5,$BG$6,$BG$7,$BG$8,$BG$9,$BG$10,$BG$11,$BG$12,$BG$13,$BG$14,$BG$15,$BG$16,$BG$17,$BG$18,$BG$19,$BG$22)</f>
        <v>0</v>
      </c>
      <c r="BH27" s="14">
        <f>SUM($BH$3,$BH$4,$BH$5,$BH$6,$BH$7,$BH$8,$BH$9,$BH$10,$BH$11,$BH$12,$BH$13,$BH$14,$BH$15,$BH$16,$BH$17,$BH$18,$BH$19,$BH$22)</f>
        <v>0</v>
      </c>
      <c r="BI27" s="14">
        <f>SUM($BI$3,$BI$4,$BI$5,$BI$6,$BI$7,$BI$8,$BI$9,$BI$10,$BI$11,$BI$12,$BI$13,$BI$14,$BI$15,$BI$16,$BI$17,$BI$18,$BI$19,$BI$22)</f>
        <v>0</v>
      </c>
      <c r="BJ27" s="8">
        <f>SUM($BJ$3,$BJ$4,$BJ$5,$BJ$6,$BJ$7,$BJ$8,$BJ$9,$BJ$10,$BJ$11,$BJ$12,$BJ$13,$BJ$14,$BJ$15,$BJ$16,$BJ$17,$BJ$18,$BJ$19,$BJ$22)</f>
        <v>0</v>
      </c>
      <c r="BK27" s="8">
        <f>SUM($BK$3,$BK$4,$BK$5,$BK$6,$BK$7,$BK$8,$BK$9,$BK$10,$BK$11,$BK$12,$BK$13,$BK$14,$BK$15,$BK$16,$BK$17,$BK$18,$BK$19,$BK$22)</f>
        <v>89000</v>
      </c>
      <c r="BL27" s="8">
        <f>SUM($BL$3,$BL$4,$BL$5,$BL$6,$BL$7,$BL$8,$BL$9,$BL$10,$BL$11,$BL$12,$BL$13,$BL$14,$BL$15,$BL$16,$BL$17,$BL$18,$BL$19,$BL$22)</f>
        <v>89000</v>
      </c>
      <c r="BM27" s="14">
        <f>SUM($BM$3,$BM$4,$BM$5,$BM$6,$BM$7,$BM$8,$BM$9,$BM$10,$BM$11,$BM$12,$BM$13,$BM$14,$BM$15,$BM$16,$BM$17,$BM$18,$BM$19,$BM$22)</f>
        <v>89</v>
      </c>
      <c r="BN27" s="14">
        <f>SUM($BN$3,$BN$4,$BN$5,$BN$6,$BN$7,$BN$8,$BN$9,$BN$10,$BN$11,$BN$12,$BN$13,$BN$14,$BN$15,$BN$16,$BN$17,$BN$18,$BN$19,$BN$22)</f>
        <v>0</v>
      </c>
      <c r="BO27" s="14">
        <f>SUM($BO$3,$BO$4,$BO$5,$BO$6,$BO$7,$BO$8,$BO$9,$BO$10,$BO$11,$BO$12,$BO$13,$BO$14,$BO$15,$BO$16,$BO$17,$BO$18,$BO$19,$BO$22)</f>
        <v>0</v>
      </c>
      <c r="BP27" s="8">
        <f>SUM($BP$3,$BP$4,$BP$5,$BP$6,$BP$7,$BP$8,$BP$9,$BP$10,$BP$11,$BP$12,$BP$13,$BP$14,$BP$15,$BP$16,$BP$17,$BP$18,$BP$19,$BP$22)</f>
        <v>82000</v>
      </c>
      <c r="BQ27" s="8">
        <f>SUM($BQ$3,$BQ$4,$BQ$5,$BQ$6,$BQ$7,$BQ$8,$BQ$9,$BQ$10,$BQ$11,$BQ$12,$BQ$13,$BQ$14,$BQ$15,$BQ$16,$BQ$17,$BQ$18,$BQ$19,$BQ$22)</f>
        <v>82000</v>
      </c>
      <c r="BR27" s="14">
        <f>SUM($BR$3,$BR$4,$BR$5,$BR$6,$BR$7,$BR$8,$BR$9,$BR$10,$BR$11,$BR$12,$BR$13,$BR$14,$BR$15,$BR$16,$BR$17,$BR$18,$BR$19,$BR$22)</f>
        <v>82</v>
      </c>
      <c r="BS27" s="14">
        <f>SUM($BS$3,$BS$4,$BS$5,$BS$6,$BS$7,$BS$8,$BS$9,$BS$10,$BS$11,$BS$12,$BS$13,$BS$14,$BS$15,$BS$16,$BS$17,$BS$18,$BS$19,$BS$22)</f>
        <v>0</v>
      </c>
      <c r="BT27" s="14">
        <f>SUM($BT$3,$BT$4,$BT$5,$BT$6,$BT$7,$BT$8,$BT$9,$BT$10,$BT$11,$BT$12,$BT$13,$BT$14,$BT$15,$BT$16,$BT$17,$BT$18,$BT$19,$BT$22)</f>
        <v>0</v>
      </c>
      <c r="BU27" s="8">
        <f>SUM($BU$3,$BU$4,$BU$5,$BU$6,$BU$7,$BU$8,$BU$9,$BU$10,$BU$11,$BU$12,$BU$13,$BU$14,$BU$15,$BU$16,$BU$17,$BU$18,$BU$19,$BU$22)</f>
        <v>88000</v>
      </c>
      <c r="BV27" s="8">
        <f>SUM($BV$3,$BV$4,$BV$5,$BV$6,$BV$7,$BV$8,$BV$9,$BV$10,$BV$11,$BV$12,$BV$13,$BV$14,$BV$15,$BV$16,$BV$17,$BV$18,$BV$19,$BV$22)</f>
        <v>88000</v>
      </c>
      <c r="BW27" s="14">
        <f>SUM($BW$3,$BW$4,$BW$5,$BW$6,$BW$7,$BW$8,$BW$9,$BW$10,$BW$11,$BW$12,$BW$13,$BW$14,$BW$15,$BW$16,$BW$17,$BW$18,$BW$19,$BW$22)</f>
        <v>88</v>
      </c>
      <c r="BX27" s="14">
        <f>SUM($BX$3,$BX$4,$BX$5,$BX$6,$BX$7,$BX$8,$BX$9,$BX$10,$BX$11,$BX$12,$BX$13,$BX$14,$BX$15,$BX$16,$BX$17,$BX$18,$BX$19,$BX$22)</f>
        <v>0</v>
      </c>
      <c r="BY27" s="14">
        <f>SUM($BY$3,$BY$4,$BY$5,$BY$6,$BY$7,$BY$8,$BY$9,$BY$10,$BY$11,$BY$12,$BY$13,$BY$14,$BY$15,$BY$16,$BY$17,$BY$18,$BY$19,$BY$22)</f>
        <v>0</v>
      </c>
      <c r="BZ27" s="8">
        <f>SUM($BZ$3,$BZ$4,$BZ$5,$BZ$6,$BZ$7,$BZ$8,$BZ$9,$BZ$10,$BZ$11,$BZ$12,$BZ$13,$BZ$14,$BZ$15,$BZ$16,$BZ$17,$BZ$18,$BZ$19,$BZ$22)</f>
        <v>88000</v>
      </c>
      <c r="CA27" s="8">
        <f>SUM($CA$3,$CA$4,$CA$5,$CA$6,$CA$7,$CA$8,$CA$9,$CA$10,$CA$11,$CA$12,$CA$13,$CA$14,$CA$15,$CA$16,$CA$17,$CA$18,$CA$19,$CA$22)</f>
        <v>88000</v>
      </c>
      <c r="CB27" s="14">
        <f>SUM($CB$3,$CB$4,$CB$5,$CB$6,$CB$7,$CB$8,$CB$9,$CB$10,$CB$11,$CB$12,$CB$13,$CB$14,$CB$15,$CB$16,$CB$17,$CB$18,$CB$19,$CB$22)</f>
        <v>88</v>
      </c>
      <c r="CC27" s="14">
        <f>SUM($CC$3,$CC$4,$CC$5,$CC$6,$CC$7,$CC$8,$CC$9,$CC$10,$CC$11,$CC$12,$CC$13,$CC$14,$CC$15,$CC$16,$CC$17,$CC$18,$CC$19,$CC$22)</f>
        <v>0</v>
      </c>
      <c r="CD27" s="14">
        <f>SUM($CD$3,$CD$4,$CD$5,$CD$6,$CD$7,$CD$8,$CD$9,$CD$10,$CD$11,$CD$12,$CD$13,$CD$14,$CD$15,$CD$16,$CD$17,$CD$18,$CD$19,$CD$22)</f>
        <v>0</v>
      </c>
      <c r="CE27" s="8">
        <f>SUM($CE$3,$CE$4,$CE$5,$CE$6,$CE$7,$CE$8,$CE$9,$CE$10,$CE$11,$CE$12,$CE$13,$CE$14,$CE$15,$CE$16,$CE$17,$CE$18,$CE$19,$CE$22)</f>
        <v>88000</v>
      </c>
      <c r="CF27" s="8">
        <f>SUM($CF$3,$CF$4,$CF$5,$CF$6,$CF$7,$CF$8,$CF$9,$CF$10,$CF$11,$CF$12,$CF$13,$CF$14,$CF$15,$CF$16,$CF$17,$CF$18,$CF$19,$CF$22)</f>
        <v>88000</v>
      </c>
      <c r="CG27" s="14">
        <f>SUM($CG$3,$CG$4,$CG$5,$CG$6,$CG$7,$CG$8,$CG$9,$CG$10,$CG$11,$CG$12,$CG$13,$CG$14,$CG$15,$CG$16,$CG$17,$CG$18,$CG$19,$CG$22)</f>
        <v>88</v>
      </c>
      <c r="CH27" s="14">
        <f>SUM($CH$3,$CH$4,$CH$5,$CH$6,$CH$7,$CH$8,$CH$9,$CH$10,$CH$11,$CH$12,$CH$13,$CH$14,$CH$15,$CH$16,$CH$17,$CH$18,$CH$19,$CH$22)</f>
        <v>0</v>
      </c>
      <c r="CI27" s="14">
        <f>SUM($CI$3,$CI$4,$CI$5,$CI$6,$CI$7,$CI$8,$CI$9,$CI$10,$CI$11,$CI$12,$CI$13,$CI$14,$CI$15,$CI$16,$CI$17,$CI$18,$CI$19,$CI$22)</f>
        <v>0</v>
      </c>
      <c r="CJ27" s="8">
        <f>SUM($CJ$3,$CJ$4,$CJ$5,$CJ$6,$CJ$7,$CJ$8,$CJ$9,$CJ$10,$CJ$11,$CJ$12,$CJ$13,$CJ$14,$CJ$15,$CJ$16,$CJ$17,$CJ$18,$CJ$19,$CJ$22)</f>
        <v>88000</v>
      </c>
      <c r="CK27" s="8">
        <f>SUM($CK$3,$CK$4,$CK$5,$CK$6,$CK$7,$CK$8,$CK$9,$CK$10,$CK$11,$CK$12,$CK$13,$CK$14,$CK$15,$CK$16,$CK$17,$CK$18,$CK$19,$CK$22)</f>
        <v>88000</v>
      </c>
      <c r="CL27" s="14">
        <f>SUM($CL$3,$CL$4,$CL$5,$CL$6,$CL$7,$CL$8,$CL$9,$CL$10,$CL$11,$CL$12,$CL$13,$CL$14,$CL$15,$CL$16,$CL$17,$CL$18,$CL$19,$CL$22)</f>
        <v>88</v>
      </c>
      <c r="CM27" s="14">
        <f>SUM($CM$3,$CM$4,$CM$5,$CM$6,$CM$7,$CM$8,$CM$9,$CM$10,$CM$11,$CM$12,$CM$13,$CM$14,$CM$15,$CM$16,$CM$17,$CM$18,$CM$19,$CM$22)</f>
        <v>0</v>
      </c>
      <c r="CN27" s="14">
        <f>SUM($CN$3,$CN$4,$CN$5,$CN$6,$CN$7,$CN$8,$CN$9,$CN$10,$CN$11,$CN$12,$CN$13,$CN$14,$CN$15,$CN$16,$CN$17,$CN$18,$CN$19,$CN$22)</f>
        <v>0</v>
      </c>
      <c r="CO27" s="14">
        <f>SUM($CO$3,$CO$4,$CO$5,$CO$6,$CO$7,$CO$8,$CO$9,$CO$10,$CO$11,$CO$12,$CO$13,$CO$14,$CO$15,$CO$16,$CO$17,$CO$18,$CO$19,$CO$22)</f>
        <v>0</v>
      </c>
      <c r="CP27" s="9">
        <f>SUM($CP$3,$CP$4,$CP$5,$CP$6,$CP$7,$CP$8,$CP$9,$CP$10,$CP$11,$CP$12,$CP$13,$CP$14,$CP$15,$CP$16,$CP$17,$CP$18,$CP$19,$CP$22)</f>
        <v>1017000</v>
      </c>
      <c r="CQ27" s="9">
        <f>SUM($CQ$3,$CQ$4,$CQ$5,$CQ$6,$CQ$7,$CQ$8,$CQ$9,$CQ$10,$CQ$11,$CQ$12,$CQ$13,$CQ$14,$CQ$15,$CQ$16,$CQ$17,$CQ$18,$CQ$19,$CQ$22)</f>
        <v>1017000</v>
      </c>
      <c r="CR27" s="14">
        <f>SUM($CR$3,$CR$4,$CR$5,$CR$6,$CR$7,$CR$8,$CR$9,$CR$10,$CR$11,$CR$12,$CR$13,$CR$14,$CR$15,$CR$16,$CR$17,$CR$18,$CR$19,$CR$22)</f>
        <v>84.299999999999983</v>
      </c>
      <c r="CS27" s="14">
        <f>SUM($CS$3,$CS$4,$CS$5,$CS$6,$CS$7,$CS$8,$CS$9,$CS$10,$CS$11,$CS$12,$CS$13,$CS$14,$CS$15,$CS$16,$CS$17,$CS$18,$CS$19,$CS$22)</f>
        <v>0</v>
      </c>
      <c r="CT27" s="14">
        <f>SUM($CT$3,$CT$4,$CT$5,$CT$6,$CT$7,$CT$8,$CT$9,$CT$10,$CT$11,$CT$12,$CT$13,$CT$14,$CT$15,$CT$16,$CT$17,$CT$18,$CT$19,$CT$22)</f>
        <v>0</v>
      </c>
      <c r="CU27" s="14">
        <f>SUM($CU$3,$CU$4,$CU$5,$CU$6,$CU$7,$CU$8,$CU$9,$CU$10,$CU$11,$CU$12,$CU$13,$CU$14,$CU$15,$CU$16,$CU$17,$CU$18,$CU$19,$CU$22)</f>
        <v>0</v>
      </c>
      <c r="CV27" s="8">
        <f>SUM($CV$3,$CV$4,$CV$5,$CV$6,$CV$7,$CV$8,$CV$9,$CV$10,$CV$11,$CV$12,$CV$13,$CV$14,$CV$15,$CV$16,$CV$17,$CV$18,$CV$19,$CV$22)</f>
        <v>-1017000</v>
      </c>
      <c r="CW27" s="8">
        <f>SUM($CW$3,$CW$4,$CW$5,$CW$6,$CW$7,$CW$8,$CW$9,$CW$10,$CW$11,$CW$12,$CW$13,$CW$14,$CW$15,$CW$16,$CW$17,$CW$18,$CW$19,$CW$22)</f>
        <v>-1017000</v>
      </c>
      <c r="CX27" s="14">
        <f>SUM($CX$3,$CX$4,$CX$5,$CX$6,$CX$7,$CX$8,$CX$9,$CX$10,$CX$11,$CX$12,$CX$13,$CX$14,$CX$15,$CX$16,$CX$17,$CX$18,$CX$19,$CX$22)</f>
        <v>0</v>
      </c>
      <c r="CY27" s="14">
        <f>SUM($CY$3,$CY$4,$CY$5,$CY$6,$CY$7,$CY$8,$CY$9,$CY$10,$CY$11,$CY$12,$CY$13,$CY$14,$CY$15,$CY$16,$CY$17,$CY$18,$CY$19,$CY$22)</f>
        <v>0</v>
      </c>
      <c r="CZ27" s="14">
        <f>SUM($CZ$3,$CZ$4,$CZ$5,$CZ$6,$CZ$7,$CZ$8,$CZ$9,$CZ$10,$CZ$11,$CZ$12,$CZ$13,$CZ$14,$CZ$15,$CZ$16,$CZ$17,$CZ$18,$CZ$19,$CZ$22)</f>
        <v>0</v>
      </c>
      <c r="DA27" s="14">
        <f>SUM($DA$3,$DA$4,$DA$5,$DA$6,$DA$7,$DA$8,$DA$9,$DA$10,$DA$11,$DA$12,$DA$13,$DA$14,$DA$15,$DA$16,$DA$17,$DA$18,$DA$19,$DA$22)</f>
        <v>0</v>
      </c>
      <c r="DB27" s="8">
        <f>SUM($DB$3,$DB$4,$DB$5,$DB$6,$DB$7,$DB$8,$DB$9,$DB$10,$DB$11,$DB$12,$DB$13,$DB$14,$DB$15,$DB$16,$DB$17,$DB$18,$DB$19,$DB$22)</f>
        <v>1017000</v>
      </c>
      <c r="DC27" s="8">
        <f>SUM($DC$3,$DC$4,$DC$5,$DC$6,$DC$7,$DC$8,$DC$9,$DC$10,$DC$11,$DC$12,$DC$13,$DC$14,$DC$15,$DC$16,$DC$17,$DC$18,$DC$19,$DC$22)</f>
        <v>1017000</v>
      </c>
    </row>
    <row r="28" spans="1:107" ht="91">
      <c r="A28" s="4"/>
      <c r="B28" s="4"/>
      <c r="C28" s="5"/>
      <c r="D28" s="26" t="s">
        <v>202</v>
      </c>
      <c r="E28" s="5"/>
      <c r="F28" s="22" t="s">
        <v>197</v>
      </c>
      <c r="G28" s="5"/>
      <c r="H28" s="5"/>
      <c r="I28" s="5"/>
      <c r="J28" s="5"/>
      <c r="K28" s="5"/>
      <c r="L28" s="5"/>
      <c r="M28" s="5"/>
      <c r="N28" s="5"/>
      <c r="O28" s="6"/>
      <c r="P28" s="6"/>
      <c r="Q28" s="7"/>
      <c r="R28" s="7"/>
      <c r="S28" s="8">
        <v>0</v>
      </c>
      <c r="T28" s="8">
        <v>0</v>
      </c>
      <c r="U28" s="8">
        <v>78000</v>
      </c>
      <c r="V28" s="8">
        <v>78000</v>
      </c>
      <c r="W28" s="8">
        <v>78</v>
      </c>
      <c r="X28" s="8">
        <v>0</v>
      </c>
      <c r="Y28" s="8">
        <v>0</v>
      </c>
      <c r="Z28" s="8">
        <v>0</v>
      </c>
      <c r="AA28" s="8">
        <v>0</v>
      </c>
      <c r="AB28" s="8">
        <v>93000</v>
      </c>
      <c r="AC28" s="8">
        <v>93000</v>
      </c>
      <c r="AD28" s="8">
        <v>88</v>
      </c>
      <c r="AE28" s="8">
        <v>0</v>
      </c>
      <c r="AF28" s="8">
        <v>0</v>
      </c>
      <c r="AG28" s="8">
        <v>0</v>
      </c>
      <c r="AH28" s="8">
        <v>0</v>
      </c>
      <c r="AI28" s="8">
        <v>93000</v>
      </c>
      <c r="AJ28" s="8">
        <v>93000</v>
      </c>
      <c r="AK28" s="8">
        <v>88</v>
      </c>
      <c r="AL28" s="8">
        <v>0</v>
      </c>
      <c r="AM28" s="8">
        <v>0</v>
      </c>
      <c r="AN28" s="8">
        <v>0</v>
      </c>
      <c r="AO28" s="8">
        <v>0</v>
      </c>
      <c r="AP28" s="8">
        <v>99000</v>
      </c>
      <c r="AQ28" s="8">
        <v>99000</v>
      </c>
      <c r="AR28" s="8">
        <v>94</v>
      </c>
      <c r="AS28" s="8">
        <v>0</v>
      </c>
      <c r="AT28" s="8">
        <v>0</v>
      </c>
      <c r="AU28" s="8">
        <v>0</v>
      </c>
      <c r="AV28" s="8">
        <v>0</v>
      </c>
      <c r="AW28" s="8">
        <v>99000</v>
      </c>
      <c r="AX28" s="8">
        <v>99000</v>
      </c>
      <c r="AY28" s="8">
        <v>94</v>
      </c>
      <c r="AZ28" s="8">
        <v>818.01</v>
      </c>
      <c r="BA28" s="8">
        <v>0</v>
      </c>
      <c r="BB28" s="8">
        <v>0</v>
      </c>
      <c r="BC28" s="8">
        <v>0</v>
      </c>
      <c r="BD28" s="8">
        <v>103000</v>
      </c>
      <c r="BE28" s="8">
        <v>103000</v>
      </c>
      <c r="BF28" s="8">
        <v>98</v>
      </c>
      <c r="BG28" s="8">
        <v>0</v>
      </c>
      <c r="BH28" s="8">
        <v>0</v>
      </c>
      <c r="BI28" s="8">
        <v>0</v>
      </c>
      <c r="BJ28" s="8">
        <v>0</v>
      </c>
      <c r="BK28" s="8">
        <v>103000</v>
      </c>
      <c r="BL28" s="8">
        <v>103000</v>
      </c>
      <c r="BM28" s="8">
        <v>98</v>
      </c>
      <c r="BN28" s="8">
        <v>0</v>
      </c>
      <c r="BO28" s="8">
        <v>0</v>
      </c>
      <c r="BP28" s="8">
        <v>106000</v>
      </c>
      <c r="BQ28" s="8">
        <v>106000</v>
      </c>
      <c r="BR28" s="8">
        <v>97</v>
      </c>
      <c r="BS28" s="8">
        <v>0</v>
      </c>
      <c r="BT28" s="8">
        <v>0</v>
      </c>
      <c r="BU28" s="8">
        <v>109440</v>
      </c>
      <c r="BV28" s="8">
        <v>106932</v>
      </c>
      <c r="BW28" s="8">
        <v>105</v>
      </c>
      <c r="BX28" s="8">
        <v>0</v>
      </c>
      <c r="BY28" s="8">
        <v>0</v>
      </c>
      <c r="BZ28" s="8">
        <v>109440</v>
      </c>
      <c r="CA28" s="8">
        <v>106932</v>
      </c>
      <c r="CB28" s="8">
        <v>105</v>
      </c>
      <c r="CC28" s="8">
        <v>0</v>
      </c>
      <c r="CD28" s="8">
        <v>0</v>
      </c>
      <c r="CE28" s="8">
        <v>109440</v>
      </c>
      <c r="CF28" s="8">
        <v>106932</v>
      </c>
      <c r="CG28" s="8">
        <v>105</v>
      </c>
      <c r="CH28" s="8">
        <v>0</v>
      </c>
      <c r="CI28" s="8">
        <v>0</v>
      </c>
      <c r="CJ28" s="8">
        <v>109440</v>
      </c>
      <c r="CK28" s="8">
        <v>106932</v>
      </c>
      <c r="CL28" s="8">
        <v>105</v>
      </c>
      <c r="CM28" s="8">
        <v>0</v>
      </c>
      <c r="CN28" s="8">
        <v>0</v>
      </c>
      <c r="CO28" s="8">
        <v>0</v>
      </c>
      <c r="CP28" s="9">
        <v>1211760</v>
      </c>
      <c r="CQ28" s="9">
        <v>1201728</v>
      </c>
      <c r="CR28" s="8">
        <v>96.3</v>
      </c>
      <c r="CS28" s="8">
        <v>0</v>
      </c>
      <c r="CT28" s="8">
        <v>0</v>
      </c>
      <c r="CU28" s="8">
        <v>0</v>
      </c>
      <c r="CV28" s="8">
        <v>-1211760</v>
      </c>
      <c r="CW28" s="8">
        <v>-1201728</v>
      </c>
      <c r="CX28" s="8">
        <v>0</v>
      </c>
      <c r="CY28" s="8">
        <v>0</v>
      </c>
      <c r="CZ28" s="8">
        <v>0</v>
      </c>
      <c r="DA28" s="8">
        <v>0</v>
      </c>
      <c r="DB28" s="8">
        <v>1211760</v>
      </c>
      <c r="DC28" s="8">
        <v>1201728</v>
      </c>
    </row>
    <row r="29" spans="1:107">
      <c r="A29" s="10"/>
      <c r="B29" s="10"/>
      <c r="C29" s="11"/>
      <c r="D29" s="11" t="s">
        <v>174</v>
      </c>
      <c r="E29" s="11"/>
      <c r="F29" s="27" t="s">
        <v>200</v>
      </c>
      <c r="G29" s="11"/>
      <c r="H29" s="11"/>
      <c r="I29" s="11"/>
      <c r="J29" s="11"/>
      <c r="K29" s="11"/>
      <c r="L29" s="11"/>
      <c r="M29" s="11"/>
      <c r="N29" s="11"/>
      <c r="O29" s="12"/>
      <c r="P29" s="12"/>
      <c r="Q29" s="13"/>
      <c r="R29" s="13"/>
      <c r="S29" s="14"/>
      <c r="T29" s="14"/>
      <c r="U29" s="14">
        <v>78000</v>
      </c>
      <c r="V29" s="14">
        <v>78000</v>
      </c>
      <c r="W29" s="14">
        <v>78</v>
      </c>
      <c r="X29" s="14">
        <v>0</v>
      </c>
      <c r="Y29" s="14">
        <v>0</v>
      </c>
      <c r="Z29" s="14">
        <v>0</v>
      </c>
      <c r="AA29" s="14">
        <v>0</v>
      </c>
      <c r="AB29" s="14">
        <v>93000</v>
      </c>
      <c r="AC29" s="14">
        <v>93000</v>
      </c>
      <c r="AD29" s="14">
        <v>88</v>
      </c>
      <c r="AE29" s="14">
        <v>0</v>
      </c>
      <c r="AF29" s="14">
        <v>0</v>
      </c>
      <c r="AG29" s="14">
        <v>0</v>
      </c>
      <c r="AH29" s="8">
        <v>0</v>
      </c>
      <c r="AI29" s="14">
        <v>93000</v>
      </c>
      <c r="AJ29" s="14">
        <v>93000</v>
      </c>
      <c r="AK29" s="14">
        <v>88</v>
      </c>
      <c r="AL29" s="14">
        <v>0</v>
      </c>
      <c r="AM29" s="14">
        <v>0</v>
      </c>
      <c r="AN29" s="14">
        <v>0</v>
      </c>
      <c r="AO29" s="8">
        <v>0</v>
      </c>
      <c r="AP29" s="14">
        <v>99000</v>
      </c>
      <c r="AQ29" s="14">
        <v>99000</v>
      </c>
      <c r="AR29" s="14">
        <v>94</v>
      </c>
      <c r="AS29" s="14">
        <v>0</v>
      </c>
      <c r="AT29" s="14">
        <v>0</v>
      </c>
      <c r="AU29" s="14">
        <v>0</v>
      </c>
      <c r="AV29" s="8">
        <v>0</v>
      </c>
      <c r="AW29" s="14">
        <v>99000</v>
      </c>
      <c r="AX29" s="14">
        <v>99000</v>
      </c>
      <c r="AY29" s="14">
        <v>94</v>
      </c>
      <c r="AZ29" s="14">
        <v>818.01</v>
      </c>
      <c r="BA29" s="14">
        <v>0</v>
      </c>
      <c r="BB29" s="14">
        <v>0</v>
      </c>
      <c r="BC29" s="8">
        <v>0</v>
      </c>
      <c r="BD29" s="14">
        <v>103000</v>
      </c>
      <c r="BE29" s="14">
        <v>103000</v>
      </c>
      <c r="BF29" s="14">
        <v>98</v>
      </c>
      <c r="BG29" s="14">
        <v>0</v>
      </c>
      <c r="BH29" s="14">
        <v>0</v>
      </c>
      <c r="BI29" s="14">
        <v>0</v>
      </c>
      <c r="BJ29" s="8">
        <v>0</v>
      </c>
      <c r="BK29" s="14">
        <v>103000</v>
      </c>
      <c r="BL29" s="14">
        <v>103000</v>
      </c>
      <c r="BM29" s="14">
        <v>98</v>
      </c>
      <c r="BN29" s="14">
        <v>0</v>
      </c>
      <c r="BO29" s="14">
        <v>0</v>
      </c>
      <c r="BP29" s="14">
        <v>106000</v>
      </c>
      <c r="BQ29" s="14">
        <v>106000</v>
      </c>
      <c r="BR29" s="14">
        <v>97</v>
      </c>
      <c r="BS29" s="14">
        <v>0</v>
      </c>
      <c r="BT29" s="14">
        <v>0</v>
      </c>
      <c r="BU29" s="14">
        <v>109440</v>
      </c>
      <c r="BV29" s="14">
        <v>106932</v>
      </c>
      <c r="BW29" s="14">
        <v>105</v>
      </c>
      <c r="BX29" s="14">
        <v>0</v>
      </c>
      <c r="BY29" s="14">
        <v>0</v>
      </c>
      <c r="BZ29" s="14">
        <v>109440</v>
      </c>
      <c r="CA29" s="14">
        <v>106932</v>
      </c>
      <c r="CB29" s="14">
        <v>105</v>
      </c>
      <c r="CC29" s="14">
        <v>0</v>
      </c>
      <c r="CD29" s="14">
        <v>0</v>
      </c>
      <c r="CE29" s="14">
        <v>109440</v>
      </c>
      <c r="CF29" s="14">
        <v>106932</v>
      </c>
      <c r="CG29" s="14">
        <v>105</v>
      </c>
      <c r="CH29" s="14">
        <v>0</v>
      </c>
      <c r="CI29" s="14">
        <v>0</v>
      </c>
      <c r="CJ29" s="14">
        <v>109440</v>
      </c>
      <c r="CK29" s="14">
        <v>106932</v>
      </c>
      <c r="CL29" s="14">
        <v>105</v>
      </c>
      <c r="CM29" s="14">
        <v>0</v>
      </c>
      <c r="CN29" s="14">
        <v>0</v>
      </c>
      <c r="CO29" s="14">
        <v>0</v>
      </c>
      <c r="CP29" s="15">
        <v>1211760</v>
      </c>
      <c r="CQ29" s="14">
        <v>1201728</v>
      </c>
      <c r="CR29" s="14">
        <v>96.4</v>
      </c>
      <c r="CS29" s="14">
        <v>0</v>
      </c>
      <c r="CT29" s="14">
        <v>0</v>
      </c>
      <c r="CU29" s="14">
        <v>0</v>
      </c>
      <c r="CV29" s="14">
        <v>-1211760</v>
      </c>
      <c r="CW29" s="14">
        <v>-1201728</v>
      </c>
      <c r="CX29" s="14">
        <v>0</v>
      </c>
      <c r="CY29" s="14">
        <v>0</v>
      </c>
      <c r="CZ29" s="14">
        <v>0</v>
      </c>
      <c r="DA29" s="14">
        <v>0</v>
      </c>
      <c r="DB29" s="8">
        <v>1211760</v>
      </c>
      <c r="DC29" s="8">
        <v>1201728</v>
      </c>
    </row>
    <row r="30" spans="1:107">
      <c r="A30" s="4"/>
      <c r="B30" s="4"/>
      <c r="C30" s="5"/>
      <c r="D30" s="5" t="s">
        <v>175</v>
      </c>
      <c r="E30" s="5"/>
      <c r="F30" s="5"/>
      <c r="G30" s="5"/>
      <c r="H30" s="5"/>
      <c r="I30" s="5"/>
      <c r="J30" s="5"/>
      <c r="K30" s="5"/>
      <c r="L30" s="5"/>
      <c r="M30" s="5"/>
      <c r="N30" s="5"/>
      <c r="O30" s="6"/>
      <c r="P30" s="6"/>
      <c r="Q30" s="7"/>
      <c r="R30" s="7"/>
      <c r="S30" s="8"/>
      <c r="T30" s="8"/>
      <c r="U30" s="8">
        <v>0</v>
      </c>
      <c r="V30" s="16">
        <v>0</v>
      </c>
      <c r="W30" s="8">
        <v>0</v>
      </c>
      <c r="X30" s="8">
        <v>0</v>
      </c>
      <c r="Y30" s="8">
        <v>0</v>
      </c>
      <c r="Z30" s="8">
        <v>0</v>
      </c>
      <c r="AA30" s="8">
        <v>0</v>
      </c>
      <c r="AB30" s="8">
        <v>0</v>
      </c>
      <c r="AC30" s="16">
        <v>0</v>
      </c>
      <c r="AD30" s="8">
        <v>0</v>
      </c>
      <c r="AE30" s="8">
        <v>0</v>
      </c>
      <c r="AF30" s="8">
        <v>0</v>
      </c>
      <c r="AG30" s="8">
        <v>0</v>
      </c>
      <c r="AH30" s="8">
        <v>0</v>
      </c>
      <c r="AI30" s="8">
        <v>0</v>
      </c>
      <c r="AJ30" s="16">
        <v>0</v>
      </c>
      <c r="AK30" s="8">
        <v>0</v>
      </c>
      <c r="AL30" s="8">
        <v>0</v>
      </c>
      <c r="AM30" s="8">
        <v>0</v>
      </c>
      <c r="AN30" s="8">
        <v>0</v>
      </c>
      <c r="AO30" s="8">
        <v>0</v>
      </c>
      <c r="AP30" s="8">
        <v>0</v>
      </c>
      <c r="AQ30" s="16">
        <v>0</v>
      </c>
      <c r="AR30" s="8">
        <v>0</v>
      </c>
      <c r="AS30" s="8">
        <v>0</v>
      </c>
      <c r="AT30" s="8">
        <v>0</v>
      </c>
      <c r="AU30" s="8">
        <v>0</v>
      </c>
      <c r="AV30" s="8">
        <v>0</v>
      </c>
      <c r="AW30" s="8">
        <v>0</v>
      </c>
      <c r="AX30" s="16">
        <v>0</v>
      </c>
      <c r="AY30" s="8">
        <v>0</v>
      </c>
      <c r="AZ30" s="8">
        <v>0</v>
      </c>
      <c r="BA30" s="8">
        <v>0</v>
      </c>
      <c r="BB30" s="8">
        <v>0</v>
      </c>
      <c r="BC30" s="8">
        <v>0</v>
      </c>
      <c r="BD30" s="8">
        <v>0</v>
      </c>
      <c r="BE30" s="16">
        <v>0</v>
      </c>
      <c r="BF30" s="8">
        <v>0</v>
      </c>
      <c r="BG30" s="8">
        <v>0</v>
      </c>
      <c r="BH30" s="8">
        <v>0</v>
      </c>
      <c r="BI30" s="8">
        <v>0</v>
      </c>
      <c r="BJ30" s="8">
        <v>0</v>
      </c>
      <c r="BK30" s="8">
        <v>0</v>
      </c>
      <c r="BL30" s="16">
        <v>0</v>
      </c>
      <c r="BM30" s="8">
        <v>0</v>
      </c>
      <c r="BN30" s="8">
        <v>0</v>
      </c>
      <c r="BO30" s="8">
        <v>0</v>
      </c>
      <c r="BP30" s="8">
        <v>0</v>
      </c>
      <c r="BQ30" s="16">
        <v>0</v>
      </c>
      <c r="BR30" s="8">
        <v>0</v>
      </c>
      <c r="BS30" s="8">
        <v>0</v>
      </c>
      <c r="BT30" s="8">
        <v>0</v>
      </c>
      <c r="BU30" s="8">
        <v>0</v>
      </c>
      <c r="BV30" s="16">
        <v>0</v>
      </c>
      <c r="BW30" s="8">
        <v>0</v>
      </c>
      <c r="BX30" s="8">
        <v>0</v>
      </c>
      <c r="BY30" s="8">
        <v>0</v>
      </c>
      <c r="BZ30" s="8">
        <v>0</v>
      </c>
      <c r="CA30" s="16">
        <v>0</v>
      </c>
      <c r="CB30" s="8">
        <v>0</v>
      </c>
      <c r="CC30" s="8">
        <v>0</v>
      </c>
      <c r="CD30" s="8">
        <v>0</v>
      </c>
      <c r="CE30" s="8">
        <v>0</v>
      </c>
      <c r="CF30" s="16">
        <v>0</v>
      </c>
      <c r="CG30" s="8">
        <v>0</v>
      </c>
      <c r="CH30" s="8">
        <v>0</v>
      </c>
      <c r="CI30" s="8">
        <v>0</v>
      </c>
      <c r="CJ30" s="8">
        <v>0</v>
      </c>
      <c r="CK30" s="16">
        <v>0</v>
      </c>
      <c r="CL30" s="8">
        <v>0</v>
      </c>
      <c r="CM30" s="8">
        <v>0</v>
      </c>
      <c r="CN30" s="8">
        <v>0</v>
      </c>
      <c r="CO30" s="8">
        <v>0</v>
      </c>
      <c r="CP30" s="9">
        <v>0</v>
      </c>
      <c r="CQ30" s="8">
        <v>0</v>
      </c>
      <c r="CR30" s="8">
        <v>0</v>
      </c>
      <c r="CS30" s="8">
        <v>0</v>
      </c>
      <c r="CT30" s="8">
        <v>0</v>
      </c>
      <c r="CU30" s="8">
        <v>0</v>
      </c>
      <c r="CV30" s="8">
        <v>0</v>
      </c>
      <c r="CW30" s="8">
        <v>0</v>
      </c>
      <c r="CX30" s="8">
        <v>0</v>
      </c>
      <c r="CY30" s="8">
        <v>0</v>
      </c>
      <c r="CZ30" s="8">
        <v>0</v>
      </c>
      <c r="DA30" s="8">
        <v>0</v>
      </c>
      <c r="DB30" s="8">
        <v>0</v>
      </c>
      <c r="DC30" s="8">
        <v>0</v>
      </c>
    </row>
    <row r="31" spans="1:107">
      <c r="A31" s="10"/>
      <c r="B31" s="10"/>
      <c r="C31" s="11"/>
      <c r="D31" s="11" t="s">
        <v>176</v>
      </c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2"/>
      <c r="P31" s="12"/>
      <c r="Q31" s="13"/>
      <c r="R31" s="13"/>
      <c r="S31" s="14"/>
      <c r="T31" s="14"/>
      <c r="U31" s="14">
        <v>87000</v>
      </c>
      <c r="V31" s="14">
        <v>87000</v>
      </c>
      <c r="W31" s="14">
        <v>87</v>
      </c>
      <c r="X31" s="14">
        <v>0</v>
      </c>
      <c r="Y31" s="14">
        <v>0</v>
      </c>
      <c r="Z31" s="14">
        <v>0</v>
      </c>
      <c r="AA31" s="14">
        <v>0</v>
      </c>
      <c r="AB31" s="14">
        <v>87000</v>
      </c>
      <c r="AC31" s="14">
        <v>87000</v>
      </c>
      <c r="AD31" s="14">
        <v>87</v>
      </c>
      <c r="AE31" s="14">
        <v>0</v>
      </c>
      <c r="AF31" s="14">
        <v>0</v>
      </c>
      <c r="AG31" s="14">
        <v>0</v>
      </c>
      <c r="AH31" s="8">
        <v>0</v>
      </c>
      <c r="AI31" s="14">
        <v>91000</v>
      </c>
      <c r="AJ31" s="14">
        <v>91000</v>
      </c>
      <c r="AK31" s="14">
        <v>91</v>
      </c>
      <c r="AL31" s="14">
        <v>0</v>
      </c>
      <c r="AM31" s="14">
        <v>0</v>
      </c>
      <c r="AN31" s="14">
        <v>0</v>
      </c>
      <c r="AO31" s="14">
        <v>0</v>
      </c>
      <c r="AP31" s="14">
        <v>91000</v>
      </c>
      <c r="AQ31" s="14">
        <v>91000</v>
      </c>
      <c r="AR31" s="14">
        <v>91</v>
      </c>
      <c r="AS31" s="14">
        <v>0</v>
      </c>
      <c r="AT31" s="14">
        <v>0</v>
      </c>
      <c r="AU31" s="14">
        <v>0</v>
      </c>
      <c r="AV31" s="14">
        <v>0</v>
      </c>
      <c r="AW31" s="14">
        <v>91000</v>
      </c>
      <c r="AX31" s="14">
        <v>91000</v>
      </c>
      <c r="AY31" s="14">
        <v>91</v>
      </c>
      <c r="AZ31" s="14">
        <v>0</v>
      </c>
      <c r="BA31" s="14">
        <v>0</v>
      </c>
      <c r="BB31" s="14">
        <v>0</v>
      </c>
      <c r="BC31" s="14">
        <v>0</v>
      </c>
      <c r="BD31" s="14">
        <v>91000</v>
      </c>
      <c r="BE31" s="14">
        <v>91000</v>
      </c>
      <c r="BF31" s="14">
        <v>91</v>
      </c>
      <c r="BG31" s="14">
        <v>0</v>
      </c>
      <c r="BH31" s="14">
        <v>0</v>
      </c>
      <c r="BI31" s="14">
        <v>0</v>
      </c>
      <c r="BJ31" s="8">
        <v>0</v>
      </c>
      <c r="BK31" s="14">
        <v>91000</v>
      </c>
      <c r="BL31" s="14">
        <v>91000</v>
      </c>
      <c r="BM31" s="14">
        <v>91</v>
      </c>
      <c r="BN31" s="14">
        <v>0</v>
      </c>
      <c r="BO31" s="14">
        <v>0</v>
      </c>
      <c r="BP31" s="14">
        <v>95000</v>
      </c>
      <c r="BQ31" s="14">
        <v>95000</v>
      </c>
      <c r="BR31" s="14">
        <v>95</v>
      </c>
      <c r="BS31" s="14">
        <v>0</v>
      </c>
      <c r="BT31" s="14">
        <v>0</v>
      </c>
      <c r="BU31" s="14">
        <v>95000</v>
      </c>
      <c r="BV31" s="14">
        <v>95000</v>
      </c>
      <c r="BW31" s="14">
        <v>95</v>
      </c>
      <c r="BX31" s="14">
        <v>0</v>
      </c>
      <c r="BY31" s="14">
        <v>0</v>
      </c>
      <c r="BZ31" s="14">
        <v>95000</v>
      </c>
      <c r="CA31" s="14">
        <v>95000</v>
      </c>
      <c r="CB31" s="14">
        <v>95</v>
      </c>
      <c r="CC31" s="14">
        <v>0</v>
      </c>
      <c r="CD31" s="14">
        <v>0</v>
      </c>
      <c r="CE31" s="14">
        <v>95000</v>
      </c>
      <c r="CF31" s="14">
        <v>95000</v>
      </c>
      <c r="CG31" s="14">
        <v>95</v>
      </c>
      <c r="CH31" s="14">
        <v>0</v>
      </c>
      <c r="CI31" s="14">
        <v>0</v>
      </c>
      <c r="CJ31" s="14">
        <v>95000</v>
      </c>
      <c r="CK31" s="14">
        <v>95000</v>
      </c>
      <c r="CL31" s="14">
        <v>95</v>
      </c>
      <c r="CM31" s="14">
        <v>0</v>
      </c>
      <c r="CN31" s="14">
        <v>0</v>
      </c>
      <c r="CO31" s="14">
        <v>0</v>
      </c>
      <c r="CP31" s="14">
        <v>92000</v>
      </c>
      <c r="CQ31" s="14">
        <v>92000</v>
      </c>
      <c r="CR31" s="14">
        <v>92</v>
      </c>
      <c r="CS31" s="14">
        <v>0</v>
      </c>
      <c r="CT31" s="14">
        <v>0</v>
      </c>
      <c r="CU31" s="14">
        <v>0</v>
      </c>
      <c r="CV31" s="14">
        <v>0</v>
      </c>
      <c r="CW31" s="14">
        <v>0</v>
      </c>
      <c r="CX31" s="14">
        <v>0</v>
      </c>
      <c r="CY31" s="14">
        <v>0</v>
      </c>
      <c r="CZ31" s="14">
        <v>0</v>
      </c>
      <c r="DA31" s="14">
        <v>0</v>
      </c>
      <c r="DB31" s="8">
        <v>92000</v>
      </c>
      <c r="DC31" s="8">
        <v>92000</v>
      </c>
    </row>
    <row r="32" spans="1:107">
      <c r="A32" s="4"/>
      <c r="B32" s="4"/>
      <c r="C32" s="5"/>
      <c r="D32" s="5" t="s">
        <v>177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6"/>
      <c r="P32" s="6"/>
      <c r="Q32" s="7"/>
      <c r="R32" s="7"/>
      <c r="S32" s="8"/>
      <c r="T32" s="8"/>
      <c r="U32" s="8">
        <v>9000</v>
      </c>
      <c r="V32" s="8">
        <v>9000</v>
      </c>
      <c r="W32" s="8">
        <v>9</v>
      </c>
      <c r="X32" s="8">
        <v>0</v>
      </c>
      <c r="Y32" s="8">
        <v>0</v>
      </c>
      <c r="Z32" s="8">
        <v>0</v>
      </c>
      <c r="AA32" s="8">
        <v>0</v>
      </c>
      <c r="AB32" s="8">
        <v>-6000</v>
      </c>
      <c r="AC32" s="8">
        <v>-6000</v>
      </c>
      <c r="AD32" s="8">
        <v>-1</v>
      </c>
      <c r="AE32" s="8">
        <v>0</v>
      </c>
      <c r="AF32" s="8">
        <v>0</v>
      </c>
      <c r="AG32" s="8">
        <v>0</v>
      </c>
      <c r="AH32" s="8">
        <v>0</v>
      </c>
      <c r="AI32" s="8">
        <v>-2000</v>
      </c>
      <c r="AJ32" s="8">
        <v>-2000</v>
      </c>
      <c r="AK32" s="8">
        <v>3</v>
      </c>
      <c r="AL32" s="8">
        <v>0</v>
      </c>
      <c r="AM32" s="8">
        <v>0</v>
      </c>
      <c r="AN32" s="8">
        <v>0</v>
      </c>
      <c r="AO32" s="8">
        <v>0</v>
      </c>
      <c r="AP32" s="8">
        <v>-8000</v>
      </c>
      <c r="AQ32" s="8">
        <v>-8000</v>
      </c>
      <c r="AR32" s="8">
        <v>-3</v>
      </c>
      <c r="AS32" s="8">
        <v>0</v>
      </c>
      <c r="AT32" s="8">
        <v>0</v>
      </c>
      <c r="AU32" s="8">
        <v>0</v>
      </c>
      <c r="AV32" s="8">
        <v>0</v>
      </c>
      <c r="AW32" s="8">
        <v>-8000</v>
      </c>
      <c r="AX32" s="8">
        <v>-8000</v>
      </c>
      <c r="AY32" s="8">
        <v>-3</v>
      </c>
      <c r="AZ32" s="8">
        <v>0</v>
      </c>
      <c r="BA32" s="8">
        <v>0</v>
      </c>
      <c r="BB32" s="8">
        <v>0</v>
      </c>
      <c r="BC32" s="8">
        <v>0</v>
      </c>
      <c r="BD32" s="8">
        <v>-12000</v>
      </c>
      <c r="BE32" s="8">
        <v>-12000</v>
      </c>
      <c r="BF32" s="8">
        <v>-7</v>
      </c>
      <c r="BG32" s="8">
        <v>0</v>
      </c>
      <c r="BH32" s="8">
        <v>0</v>
      </c>
      <c r="BI32" s="8">
        <v>0</v>
      </c>
      <c r="BJ32" s="8">
        <v>0</v>
      </c>
      <c r="BK32" s="8">
        <v>-12000</v>
      </c>
      <c r="BL32" s="8">
        <v>-12000</v>
      </c>
      <c r="BM32" s="8">
        <v>-7</v>
      </c>
      <c r="BN32" s="8">
        <v>0</v>
      </c>
      <c r="BO32" s="8">
        <v>0</v>
      </c>
      <c r="BP32" s="8">
        <v>-11000</v>
      </c>
      <c r="BQ32" s="8">
        <v>-11000</v>
      </c>
      <c r="BR32" s="8">
        <v>-2</v>
      </c>
      <c r="BS32" s="8">
        <v>0</v>
      </c>
      <c r="BT32" s="8">
        <v>0</v>
      </c>
      <c r="BU32" s="8">
        <v>-14440</v>
      </c>
      <c r="BV32" s="8">
        <v>-11932</v>
      </c>
      <c r="BW32" s="8">
        <v>-10</v>
      </c>
      <c r="BX32" s="8">
        <v>0</v>
      </c>
      <c r="BY32" s="8">
        <v>0</v>
      </c>
      <c r="BZ32" s="8">
        <v>-14440</v>
      </c>
      <c r="CA32" s="8">
        <v>-11932</v>
      </c>
      <c r="CB32" s="8">
        <v>-10</v>
      </c>
      <c r="CC32" s="8">
        <v>0</v>
      </c>
      <c r="CD32" s="8">
        <v>0</v>
      </c>
      <c r="CE32" s="8">
        <v>-14440</v>
      </c>
      <c r="CF32" s="8">
        <v>-11932</v>
      </c>
      <c r="CG32" s="8">
        <v>-10</v>
      </c>
      <c r="CH32" s="8">
        <v>0</v>
      </c>
      <c r="CI32" s="8">
        <v>0</v>
      </c>
      <c r="CJ32" s="8">
        <v>-14440</v>
      </c>
      <c r="CK32" s="8">
        <v>-11932</v>
      </c>
      <c r="CL32" s="8">
        <v>-10</v>
      </c>
      <c r="CM32" s="8">
        <v>0</v>
      </c>
      <c r="CN32" s="8">
        <v>0</v>
      </c>
      <c r="CO32" s="8">
        <v>0</v>
      </c>
      <c r="CP32" s="8">
        <v>-1119760</v>
      </c>
      <c r="CQ32" s="8">
        <v>-1109728</v>
      </c>
      <c r="CR32" s="8">
        <v>-4.3</v>
      </c>
      <c r="CS32" s="8">
        <v>0</v>
      </c>
      <c r="CT32" s="8">
        <v>0</v>
      </c>
      <c r="CU32" s="8">
        <v>0</v>
      </c>
      <c r="CV32" s="8">
        <v>0</v>
      </c>
      <c r="CW32" s="8">
        <v>0</v>
      </c>
      <c r="CX32" s="8">
        <v>0</v>
      </c>
      <c r="CY32" s="8">
        <v>0</v>
      </c>
      <c r="CZ32" s="8">
        <v>0</v>
      </c>
      <c r="DA32" s="8">
        <v>0</v>
      </c>
      <c r="DB32" s="8">
        <v>-1119760</v>
      </c>
      <c r="DC32" s="8">
        <v>-1109728</v>
      </c>
    </row>
    <row r="33" spans="1:107">
      <c r="A33" s="10"/>
      <c r="B33" s="10"/>
      <c r="C33" s="11"/>
      <c r="D33" s="11" t="s">
        <v>178</v>
      </c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2"/>
      <c r="P33" s="12"/>
      <c r="Q33" s="13"/>
      <c r="R33" s="13"/>
      <c r="S33" s="14"/>
      <c r="T33" s="14"/>
      <c r="U33" s="14">
        <v>78000</v>
      </c>
      <c r="V33" s="14">
        <v>78000</v>
      </c>
      <c r="W33" s="14">
        <v>0</v>
      </c>
      <c r="X33" s="14">
        <v>0</v>
      </c>
      <c r="Y33" s="14">
        <v>0</v>
      </c>
      <c r="Z33" s="14">
        <v>0</v>
      </c>
      <c r="AA33" s="14">
        <v>0</v>
      </c>
      <c r="AB33" s="14">
        <v>93000</v>
      </c>
      <c r="AC33" s="14">
        <v>93000</v>
      </c>
      <c r="AD33" s="14">
        <v>0</v>
      </c>
      <c r="AE33" s="14">
        <v>0</v>
      </c>
      <c r="AF33" s="14">
        <v>0</v>
      </c>
      <c r="AG33" s="14">
        <v>0</v>
      </c>
      <c r="AH33" s="8">
        <v>0</v>
      </c>
      <c r="AI33" s="14">
        <v>93000</v>
      </c>
      <c r="AJ33" s="14">
        <v>93000</v>
      </c>
      <c r="AK33" s="14">
        <v>0</v>
      </c>
      <c r="AL33" s="14">
        <v>0</v>
      </c>
      <c r="AM33" s="14">
        <v>0</v>
      </c>
      <c r="AN33" s="14">
        <v>0</v>
      </c>
      <c r="AO33" s="14">
        <v>0</v>
      </c>
      <c r="AP33" s="14">
        <v>99000</v>
      </c>
      <c r="AQ33" s="14">
        <v>99000</v>
      </c>
      <c r="AR33" s="14">
        <v>0</v>
      </c>
      <c r="AS33" s="14">
        <v>0</v>
      </c>
      <c r="AT33" s="14">
        <v>0</v>
      </c>
      <c r="AU33" s="14">
        <v>0</v>
      </c>
      <c r="AV33" s="14">
        <v>0</v>
      </c>
      <c r="AW33" s="14">
        <v>99000</v>
      </c>
      <c r="AX33" s="14">
        <v>99000</v>
      </c>
      <c r="AY33" s="14">
        <v>0</v>
      </c>
      <c r="AZ33" s="14">
        <v>0</v>
      </c>
      <c r="BA33" s="14">
        <v>0</v>
      </c>
      <c r="BB33" s="14">
        <v>0</v>
      </c>
      <c r="BC33" s="14">
        <v>0</v>
      </c>
      <c r="BD33" s="14">
        <v>103000</v>
      </c>
      <c r="BE33" s="14">
        <v>103000</v>
      </c>
      <c r="BF33" s="14">
        <v>0</v>
      </c>
      <c r="BG33" s="14">
        <v>0</v>
      </c>
      <c r="BH33" s="14">
        <v>0</v>
      </c>
      <c r="BI33" s="14">
        <v>0</v>
      </c>
      <c r="BJ33" s="8">
        <v>0</v>
      </c>
      <c r="BK33" s="14">
        <v>103000</v>
      </c>
      <c r="BL33" s="14">
        <v>103000</v>
      </c>
      <c r="BM33" s="14">
        <v>0</v>
      </c>
      <c r="BN33" s="14">
        <v>0</v>
      </c>
      <c r="BO33" s="14">
        <v>0</v>
      </c>
      <c r="BP33" s="14">
        <v>106000</v>
      </c>
      <c r="BQ33" s="14">
        <v>106000</v>
      </c>
      <c r="BR33" s="14">
        <v>0</v>
      </c>
      <c r="BS33" s="14">
        <v>0</v>
      </c>
      <c r="BT33" s="14">
        <v>0</v>
      </c>
      <c r="BU33" s="14">
        <v>109440</v>
      </c>
      <c r="BV33" s="14">
        <v>106932</v>
      </c>
      <c r="BW33" s="14">
        <v>0</v>
      </c>
      <c r="BX33" s="14">
        <v>0</v>
      </c>
      <c r="BY33" s="14">
        <v>0</v>
      </c>
      <c r="BZ33" s="14">
        <v>109440</v>
      </c>
      <c r="CA33" s="14">
        <v>106932</v>
      </c>
      <c r="CB33" s="14">
        <v>0</v>
      </c>
      <c r="CC33" s="14">
        <v>0</v>
      </c>
      <c r="CD33" s="14">
        <v>0</v>
      </c>
      <c r="CE33" s="14">
        <v>109440</v>
      </c>
      <c r="CF33" s="14">
        <v>106932</v>
      </c>
      <c r="CG33" s="14">
        <v>0</v>
      </c>
      <c r="CH33" s="14">
        <v>0</v>
      </c>
      <c r="CI33" s="14">
        <v>0</v>
      </c>
      <c r="CJ33" s="14">
        <v>109440</v>
      </c>
      <c r="CK33" s="14">
        <v>106932</v>
      </c>
      <c r="CL33" s="14">
        <v>0</v>
      </c>
      <c r="CM33" s="14">
        <v>0</v>
      </c>
      <c r="CN33" s="14">
        <v>0</v>
      </c>
      <c r="CO33" s="14">
        <v>0</v>
      </c>
      <c r="CP33" s="14">
        <v>1211760</v>
      </c>
      <c r="CQ33" s="14">
        <v>1201728</v>
      </c>
      <c r="CR33" s="14">
        <v>0</v>
      </c>
      <c r="CS33" s="14">
        <v>0</v>
      </c>
      <c r="CT33" s="14">
        <v>0</v>
      </c>
      <c r="CU33" s="14">
        <v>0</v>
      </c>
      <c r="CV33" s="14">
        <v>0</v>
      </c>
      <c r="CW33" s="14">
        <v>0</v>
      </c>
      <c r="CX33" s="14">
        <v>0</v>
      </c>
      <c r="CY33" s="14">
        <v>0</v>
      </c>
      <c r="CZ33" s="14">
        <v>0</v>
      </c>
      <c r="DA33" s="14">
        <v>0</v>
      </c>
      <c r="DB33" s="8">
        <v>1211760</v>
      </c>
      <c r="DC33" s="8">
        <v>1201728</v>
      </c>
    </row>
    <row r="34" spans="1:107">
      <c r="A34" s="4"/>
      <c r="B34" s="4"/>
      <c r="C34" s="5"/>
      <c r="D34" s="5" t="s">
        <v>179</v>
      </c>
      <c r="E34" s="5"/>
      <c r="F34" s="5"/>
      <c r="G34" s="5"/>
      <c r="H34" s="5"/>
      <c r="I34" s="5"/>
      <c r="J34" s="5"/>
      <c r="K34" s="5"/>
      <c r="L34" s="5"/>
      <c r="M34" s="5"/>
      <c r="N34" s="5"/>
      <c r="O34" s="6"/>
      <c r="P34" s="6"/>
      <c r="Q34" s="7"/>
      <c r="R34" s="7"/>
      <c r="S34" s="8"/>
      <c r="T34" s="8"/>
      <c r="U34" s="8">
        <v>9000</v>
      </c>
      <c r="V34" s="8">
        <v>9000</v>
      </c>
      <c r="W34" s="8">
        <v>0</v>
      </c>
      <c r="X34" s="8">
        <v>0</v>
      </c>
      <c r="Y34" s="8">
        <v>0</v>
      </c>
      <c r="Z34" s="8">
        <v>0</v>
      </c>
      <c r="AA34" s="8">
        <v>0</v>
      </c>
      <c r="AB34" s="8">
        <v>-6000</v>
      </c>
      <c r="AC34" s="8">
        <v>-6000</v>
      </c>
      <c r="AD34" s="8">
        <v>0</v>
      </c>
      <c r="AE34" s="8">
        <v>0</v>
      </c>
      <c r="AF34" s="8">
        <v>0</v>
      </c>
      <c r="AG34" s="8">
        <v>0</v>
      </c>
      <c r="AH34" s="8">
        <v>0</v>
      </c>
      <c r="AI34" s="8">
        <v>-2000</v>
      </c>
      <c r="AJ34" s="8">
        <v>-2000</v>
      </c>
      <c r="AK34" s="8">
        <v>0</v>
      </c>
      <c r="AL34" s="8">
        <v>0</v>
      </c>
      <c r="AM34" s="8">
        <v>0</v>
      </c>
      <c r="AN34" s="8">
        <v>0</v>
      </c>
      <c r="AO34" s="8">
        <v>0</v>
      </c>
      <c r="AP34" s="8">
        <v>-8000</v>
      </c>
      <c r="AQ34" s="8">
        <v>-8000</v>
      </c>
      <c r="AR34" s="8">
        <v>0</v>
      </c>
      <c r="AS34" s="8">
        <v>0</v>
      </c>
      <c r="AT34" s="8">
        <v>0</v>
      </c>
      <c r="AU34" s="8">
        <v>0</v>
      </c>
      <c r="AV34" s="8">
        <v>0</v>
      </c>
      <c r="AW34" s="8">
        <v>-8000</v>
      </c>
      <c r="AX34" s="8">
        <v>-8000</v>
      </c>
      <c r="AY34" s="8">
        <v>0</v>
      </c>
      <c r="AZ34" s="8">
        <v>0</v>
      </c>
      <c r="BA34" s="8">
        <v>0</v>
      </c>
      <c r="BB34" s="8">
        <v>0</v>
      </c>
      <c r="BC34" s="8">
        <v>0</v>
      </c>
      <c r="BD34" s="8">
        <v>-12000</v>
      </c>
      <c r="BE34" s="8">
        <v>-12000</v>
      </c>
      <c r="BF34" s="8">
        <v>0</v>
      </c>
      <c r="BG34" s="8">
        <v>0</v>
      </c>
      <c r="BH34" s="8">
        <v>0</v>
      </c>
      <c r="BI34" s="8">
        <v>0</v>
      </c>
      <c r="BJ34" s="8">
        <v>0</v>
      </c>
      <c r="BK34" s="8">
        <v>-12000</v>
      </c>
      <c r="BL34" s="8">
        <v>-12000</v>
      </c>
      <c r="BM34" s="8">
        <v>0</v>
      </c>
      <c r="BN34" s="8">
        <v>0</v>
      </c>
      <c r="BO34" s="8">
        <v>0</v>
      </c>
      <c r="BP34" s="8">
        <v>-11000</v>
      </c>
      <c r="BQ34" s="8">
        <v>-11000</v>
      </c>
      <c r="BR34" s="8">
        <v>0</v>
      </c>
      <c r="BS34" s="8">
        <v>0</v>
      </c>
      <c r="BT34" s="8">
        <v>0</v>
      </c>
      <c r="BU34" s="8">
        <v>-14440</v>
      </c>
      <c r="BV34" s="8">
        <v>-11932</v>
      </c>
      <c r="BW34" s="8">
        <v>0</v>
      </c>
      <c r="BX34" s="8">
        <v>0</v>
      </c>
      <c r="BY34" s="8">
        <v>0</v>
      </c>
      <c r="BZ34" s="8">
        <v>-14440</v>
      </c>
      <c r="CA34" s="8">
        <v>-11932</v>
      </c>
      <c r="CB34" s="8">
        <v>0</v>
      </c>
      <c r="CC34" s="8">
        <v>0</v>
      </c>
      <c r="CD34" s="8">
        <v>0</v>
      </c>
      <c r="CE34" s="8">
        <v>-14440</v>
      </c>
      <c r="CF34" s="8">
        <v>-11932</v>
      </c>
      <c r="CG34" s="8">
        <v>0</v>
      </c>
      <c r="CH34" s="8">
        <v>0</v>
      </c>
      <c r="CI34" s="8">
        <v>0</v>
      </c>
      <c r="CJ34" s="8">
        <v>-14440</v>
      </c>
      <c r="CK34" s="8">
        <v>-11932</v>
      </c>
      <c r="CL34" s="8">
        <v>0</v>
      </c>
      <c r="CM34" s="8">
        <v>0</v>
      </c>
      <c r="CN34" s="8">
        <v>0</v>
      </c>
      <c r="CO34" s="8">
        <v>0</v>
      </c>
      <c r="CP34" s="8">
        <v>-1119760</v>
      </c>
      <c r="CQ34" s="8">
        <v>-1109728</v>
      </c>
      <c r="CR34" s="8">
        <v>0</v>
      </c>
      <c r="CS34" s="8">
        <v>0</v>
      </c>
      <c r="CT34" s="8">
        <v>0</v>
      </c>
      <c r="CU34" s="8">
        <v>0</v>
      </c>
      <c r="CV34" s="8">
        <v>0</v>
      </c>
      <c r="CW34" s="8">
        <v>0</v>
      </c>
      <c r="CX34" s="8">
        <v>0</v>
      </c>
      <c r="CY34" s="8">
        <v>0</v>
      </c>
      <c r="CZ34" s="8">
        <v>0</v>
      </c>
      <c r="DA34" s="8">
        <v>0</v>
      </c>
      <c r="DB34" s="8">
        <v>-1119760</v>
      </c>
      <c r="DC34" s="8">
        <v>-1109728</v>
      </c>
    </row>
    <row r="35" spans="1:107">
      <c r="A35" s="10"/>
      <c r="B35" s="10"/>
      <c r="C35" s="11"/>
      <c r="D35" s="18" t="s">
        <v>180</v>
      </c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2"/>
      <c r="P35" s="12"/>
      <c r="Q35" s="13"/>
      <c r="R35" s="13"/>
      <c r="S35" s="14"/>
      <c r="T35" s="14"/>
      <c r="U35" s="14"/>
      <c r="V35" s="17"/>
      <c r="W35" s="14"/>
      <c r="X35" s="14"/>
      <c r="Y35" s="14"/>
      <c r="Z35" s="14"/>
      <c r="AA35" s="14"/>
      <c r="AB35" s="14"/>
      <c r="AC35" s="17"/>
      <c r="AD35" s="14"/>
      <c r="AE35" s="14"/>
      <c r="AF35" s="14"/>
      <c r="AG35" s="14"/>
      <c r="AH35" s="14"/>
      <c r="AI35" s="14"/>
      <c r="AJ35" s="17"/>
      <c r="AK35" s="14"/>
      <c r="AL35" s="14"/>
      <c r="AM35" s="14"/>
      <c r="AN35" s="14"/>
      <c r="AO35" s="14"/>
      <c r="AP35" s="14"/>
      <c r="AQ35" s="17"/>
      <c r="AR35" s="14"/>
      <c r="AS35" s="14"/>
      <c r="AT35" s="14"/>
      <c r="AU35" s="14"/>
      <c r="AV35" s="14"/>
      <c r="AW35" s="14"/>
      <c r="AX35" s="17"/>
      <c r="AY35" s="14"/>
      <c r="AZ35" s="14"/>
      <c r="BA35" s="14"/>
      <c r="BB35" s="14"/>
      <c r="BC35" s="14"/>
      <c r="BD35" s="14"/>
      <c r="BE35" s="17"/>
      <c r="BF35" s="14"/>
      <c r="BG35" s="14"/>
      <c r="BH35" s="14"/>
      <c r="BI35" s="14"/>
      <c r="BJ35" s="14"/>
      <c r="BK35" s="14"/>
      <c r="BL35" s="17"/>
      <c r="BM35" s="14"/>
      <c r="BN35" s="14"/>
      <c r="BO35" s="14"/>
      <c r="BP35" s="14">
        <v>100</v>
      </c>
      <c r="BQ35" s="17">
        <v>100</v>
      </c>
      <c r="BR35" s="14"/>
      <c r="BS35" s="14"/>
      <c r="BT35" s="14"/>
      <c r="BU35" s="14">
        <v>96</v>
      </c>
      <c r="BV35" s="17">
        <v>93.8</v>
      </c>
      <c r="BW35" s="14"/>
      <c r="BX35" s="14"/>
      <c r="BY35" s="14"/>
      <c r="BZ35" s="14">
        <v>96</v>
      </c>
      <c r="CA35" s="17">
        <v>93.8</v>
      </c>
      <c r="CB35" s="14"/>
      <c r="CC35" s="14"/>
      <c r="CD35" s="14"/>
      <c r="CE35" s="14">
        <v>96</v>
      </c>
      <c r="CF35" s="17">
        <v>93.8</v>
      </c>
      <c r="CG35" s="14"/>
      <c r="CH35" s="14"/>
      <c r="CI35" s="14"/>
      <c r="CJ35" s="14">
        <v>96</v>
      </c>
      <c r="CK35" s="17">
        <v>93.8</v>
      </c>
      <c r="CL35" s="14"/>
      <c r="CM35" s="14"/>
      <c r="CN35" s="14"/>
      <c r="CO35" s="14"/>
      <c r="CP35" s="15"/>
      <c r="CQ35" s="14"/>
      <c r="CR35" s="14"/>
      <c r="CS35" s="14"/>
      <c r="CT35" s="14"/>
      <c r="CU35" s="14"/>
      <c r="CV35" s="14"/>
      <c r="CW35" s="14"/>
      <c r="CX35" s="14"/>
      <c r="CY35" s="14"/>
      <c r="CZ35" s="14"/>
      <c r="DA35" s="14"/>
      <c r="DB35" s="14"/>
      <c r="DC35" s="17"/>
    </row>
    <row r="36" spans="1:107">
      <c r="A36" s="4"/>
      <c r="B36" s="4"/>
      <c r="C36" s="5"/>
      <c r="D36" s="18" t="s">
        <v>181</v>
      </c>
      <c r="E36" s="5"/>
      <c r="F36" s="5"/>
      <c r="G36" s="5"/>
      <c r="H36" s="5"/>
      <c r="I36" s="5"/>
      <c r="J36" s="5"/>
      <c r="K36" s="5"/>
      <c r="L36" s="5"/>
      <c r="M36" s="5"/>
      <c r="N36" s="5"/>
      <c r="O36" s="6"/>
      <c r="P36" s="6"/>
      <c r="Q36" s="7"/>
      <c r="R36" s="7"/>
      <c r="S36" s="8"/>
      <c r="T36" s="8"/>
      <c r="U36" s="8"/>
      <c r="V36" s="16"/>
      <c r="W36" s="8"/>
      <c r="X36" s="8"/>
      <c r="Y36" s="8"/>
      <c r="Z36" s="8"/>
      <c r="AA36" s="8"/>
      <c r="AB36" s="8"/>
      <c r="AC36" s="16"/>
      <c r="AD36" s="8"/>
      <c r="AE36" s="8"/>
      <c r="AF36" s="8"/>
      <c r="AG36" s="8"/>
      <c r="AH36" s="8"/>
      <c r="AI36" s="8"/>
      <c r="AJ36" s="16"/>
      <c r="AK36" s="8"/>
      <c r="AL36" s="8"/>
      <c r="AM36" s="8"/>
      <c r="AN36" s="8"/>
      <c r="AO36" s="8"/>
      <c r="AP36" s="8"/>
      <c r="AQ36" s="16"/>
      <c r="AR36" s="8"/>
      <c r="AS36" s="8"/>
      <c r="AT36" s="8"/>
      <c r="AU36" s="8"/>
      <c r="AV36" s="8"/>
      <c r="AW36" s="8"/>
      <c r="AX36" s="16"/>
      <c r="AY36" s="8"/>
      <c r="AZ36" s="8"/>
      <c r="BA36" s="8"/>
      <c r="BB36" s="8"/>
      <c r="BC36" s="8"/>
      <c r="BD36" s="8"/>
      <c r="BE36" s="16"/>
      <c r="BF36" s="8"/>
      <c r="BG36" s="8"/>
      <c r="BH36" s="8"/>
      <c r="BI36" s="8"/>
      <c r="BJ36" s="8"/>
      <c r="BK36" s="8"/>
      <c r="BL36" s="16"/>
      <c r="BM36" s="8"/>
      <c r="BN36" s="8"/>
      <c r="BO36" s="8"/>
      <c r="BP36" s="8">
        <v>100</v>
      </c>
      <c r="BQ36" s="16">
        <v>100</v>
      </c>
      <c r="BR36" s="8"/>
      <c r="BS36" s="8"/>
      <c r="BT36" s="8"/>
      <c r="BU36" s="8">
        <v>100</v>
      </c>
      <c r="BV36" s="16">
        <v>100</v>
      </c>
      <c r="BW36" s="8"/>
      <c r="BX36" s="8"/>
      <c r="BY36" s="8"/>
      <c r="BZ36" s="8">
        <v>100</v>
      </c>
      <c r="CA36" s="16">
        <v>100</v>
      </c>
      <c r="CB36" s="8"/>
      <c r="CC36" s="8"/>
      <c r="CD36" s="8"/>
      <c r="CE36" s="8">
        <v>100</v>
      </c>
      <c r="CF36" s="16">
        <v>100</v>
      </c>
      <c r="CG36" s="8"/>
      <c r="CH36" s="8"/>
      <c r="CI36" s="8"/>
      <c r="CJ36" s="8">
        <v>100</v>
      </c>
      <c r="CK36" s="16">
        <v>100</v>
      </c>
      <c r="CL36" s="8"/>
      <c r="CM36" s="8"/>
      <c r="CN36" s="8"/>
      <c r="CO36" s="8"/>
      <c r="CP36" s="9"/>
      <c r="CQ36" s="8"/>
      <c r="CR36" s="8"/>
      <c r="CS36" s="8"/>
      <c r="CT36" s="8"/>
      <c r="CU36" s="8"/>
      <c r="CV36" s="8"/>
      <c r="CW36" s="8"/>
      <c r="CX36" s="8"/>
      <c r="CY36" s="8"/>
      <c r="CZ36" s="8"/>
      <c r="DA36" s="8"/>
      <c r="DB36" s="8"/>
      <c r="DC36" s="16"/>
    </row>
    <row r="37" spans="1:107">
      <c r="A37" s="10"/>
      <c r="B37" s="10"/>
      <c r="C37" s="11"/>
      <c r="D37" s="11" t="s">
        <v>182</v>
      </c>
      <c r="E37" s="11"/>
      <c r="F37" s="11"/>
      <c r="G37" s="11" t="s">
        <v>183</v>
      </c>
      <c r="H37" s="11"/>
      <c r="I37" s="11"/>
      <c r="J37" s="11"/>
      <c r="K37" s="11"/>
      <c r="L37" s="11"/>
      <c r="M37" s="11"/>
      <c r="N37" s="11"/>
      <c r="O37" s="12"/>
      <c r="P37" s="12"/>
      <c r="Q37" s="13"/>
      <c r="R37" s="13"/>
      <c r="S37" s="14"/>
      <c r="T37" s="14"/>
      <c r="U37" s="14"/>
      <c r="V37" s="17"/>
      <c r="W37" s="14"/>
      <c r="X37" s="14"/>
      <c r="Y37" s="14"/>
      <c r="Z37" s="14"/>
      <c r="AA37" s="14"/>
      <c r="AB37" s="14"/>
      <c r="AC37" s="17"/>
      <c r="AD37" s="14"/>
      <c r="AE37" s="14"/>
      <c r="AF37" s="14"/>
      <c r="AG37" s="14"/>
      <c r="AH37" s="14"/>
      <c r="AI37" s="14"/>
      <c r="AJ37" s="17"/>
      <c r="AK37" s="14"/>
      <c r="AL37" s="14"/>
      <c r="AM37" s="14"/>
      <c r="AN37" s="14"/>
      <c r="AO37" s="14"/>
      <c r="AP37" s="14"/>
      <c r="AQ37" s="17"/>
      <c r="AR37" s="14"/>
      <c r="AS37" s="14"/>
      <c r="AT37" s="14"/>
      <c r="AU37" s="14"/>
      <c r="AV37" s="14"/>
      <c r="AW37" s="14"/>
      <c r="AX37" s="17"/>
      <c r="AY37" s="14"/>
      <c r="AZ37" s="14"/>
      <c r="BA37" s="14"/>
      <c r="BB37" s="14"/>
      <c r="BC37" s="14"/>
      <c r="BD37" s="14"/>
      <c r="BE37" s="17"/>
      <c r="BF37" s="14"/>
      <c r="BG37" s="14"/>
      <c r="BH37" s="14"/>
      <c r="BI37" s="14"/>
      <c r="BJ37" s="14"/>
      <c r="BK37" s="14"/>
      <c r="BL37" s="17"/>
      <c r="BM37" s="14"/>
      <c r="BN37" s="14"/>
      <c r="BO37" s="14"/>
      <c r="BP37" s="14"/>
      <c r="BQ37" s="17"/>
      <c r="BR37" s="14"/>
      <c r="BS37" s="14"/>
      <c r="BT37" s="14"/>
      <c r="BU37" s="14"/>
      <c r="BV37" s="17"/>
      <c r="BW37" s="14"/>
      <c r="BX37" s="14"/>
      <c r="BY37" s="14"/>
      <c r="BZ37" s="14"/>
      <c r="CA37" s="17"/>
      <c r="CB37" s="14"/>
      <c r="CC37" s="14"/>
      <c r="CD37" s="14"/>
      <c r="CE37" s="14"/>
      <c r="CF37" s="17"/>
      <c r="CG37" s="14"/>
      <c r="CH37" s="14"/>
      <c r="CI37" s="14"/>
      <c r="CJ37" s="14"/>
      <c r="CK37" s="17"/>
      <c r="CL37" s="14"/>
      <c r="CM37" s="14"/>
      <c r="CN37" s="14"/>
      <c r="CO37" s="14"/>
      <c r="CP37" s="15"/>
      <c r="CQ37" s="14"/>
      <c r="CR37" s="14"/>
      <c r="CS37" s="14"/>
      <c r="CT37" s="14"/>
      <c r="CU37" s="14"/>
      <c r="CV37" s="14"/>
      <c r="CW37" s="14"/>
      <c r="CX37" s="14"/>
      <c r="CY37" s="14"/>
      <c r="CZ37" s="14"/>
      <c r="DA37" s="14"/>
      <c r="DB37" s="14"/>
      <c r="DC37" s="17"/>
    </row>
    <row r="38" spans="1:107">
      <c r="A38" s="4"/>
      <c r="B38" s="4"/>
      <c r="C38" s="5"/>
      <c r="D38" s="5" t="s">
        <v>184</v>
      </c>
      <c r="E38" s="5"/>
      <c r="F38" s="5"/>
      <c r="G38" s="5" t="s">
        <v>185</v>
      </c>
      <c r="H38" s="5"/>
      <c r="I38" s="5"/>
      <c r="J38" s="5"/>
      <c r="K38" s="5"/>
      <c r="L38" s="5"/>
      <c r="M38" s="5"/>
      <c r="N38" s="5"/>
      <c r="O38" s="6"/>
      <c r="P38" s="6"/>
      <c r="Q38" s="7"/>
      <c r="R38" s="7"/>
      <c r="S38" s="8"/>
      <c r="T38" s="8"/>
      <c r="U38" s="8"/>
      <c r="V38" s="16"/>
      <c r="W38" s="8"/>
      <c r="X38" s="8"/>
      <c r="Y38" s="8"/>
      <c r="Z38" s="8"/>
      <c r="AA38" s="8"/>
      <c r="AB38" s="8"/>
      <c r="AC38" s="16"/>
      <c r="AD38" s="8"/>
      <c r="AE38" s="8"/>
      <c r="AF38" s="8"/>
      <c r="AG38" s="8"/>
      <c r="AH38" s="8"/>
      <c r="AI38" s="8"/>
      <c r="AJ38" s="16"/>
      <c r="AK38" s="8"/>
      <c r="AL38" s="8"/>
      <c r="AM38" s="8"/>
      <c r="AN38" s="8"/>
      <c r="AO38" s="8"/>
      <c r="AP38" s="8"/>
      <c r="AQ38" s="16"/>
      <c r="AR38" s="8"/>
      <c r="AS38" s="8"/>
      <c r="AT38" s="8"/>
      <c r="AU38" s="8"/>
      <c r="AV38" s="8"/>
      <c r="AW38" s="8"/>
      <c r="AX38" s="16"/>
      <c r="AY38" s="8"/>
      <c r="AZ38" s="8"/>
      <c r="BA38" s="8"/>
      <c r="BB38" s="8"/>
      <c r="BC38" s="8"/>
      <c r="BD38" s="8"/>
      <c r="BE38" s="16"/>
      <c r="BF38" s="8"/>
      <c r="BG38" s="8"/>
      <c r="BH38" s="8"/>
      <c r="BI38" s="8"/>
      <c r="BJ38" s="8"/>
      <c r="BK38" s="8"/>
      <c r="BL38" s="16"/>
      <c r="BM38" s="8"/>
      <c r="BN38" s="8"/>
      <c r="BO38" s="8"/>
      <c r="BP38" s="8"/>
      <c r="BQ38" s="16"/>
      <c r="BR38" s="8"/>
      <c r="BS38" s="8"/>
      <c r="BT38" s="8"/>
      <c r="BU38" s="8"/>
      <c r="BV38" s="16"/>
      <c r="BW38" s="8"/>
      <c r="BX38" s="8"/>
      <c r="BY38" s="8"/>
      <c r="BZ38" s="8"/>
      <c r="CA38" s="16"/>
      <c r="CB38" s="8"/>
      <c r="CC38" s="8"/>
      <c r="CD38" s="8"/>
      <c r="CE38" s="8"/>
      <c r="CF38" s="16"/>
      <c r="CG38" s="8"/>
      <c r="CH38" s="8"/>
      <c r="CI38" s="8"/>
      <c r="CJ38" s="8"/>
      <c r="CK38" s="16"/>
      <c r="CL38" s="8"/>
      <c r="CM38" s="8"/>
      <c r="CN38" s="8"/>
      <c r="CO38" s="8"/>
      <c r="CP38" s="9"/>
      <c r="CQ38" s="8"/>
      <c r="CR38" s="8"/>
      <c r="CS38" s="8"/>
      <c r="CT38" s="8"/>
      <c r="CU38" s="8"/>
      <c r="CV38" s="8"/>
      <c r="CW38" s="8"/>
      <c r="CX38" s="8"/>
      <c r="CY38" s="8"/>
      <c r="CZ38" s="8"/>
      <c r="DA38" s="8"/>
      <c r="DB38" s="8"/>
      <c r="DC38" s="16"/>
    </row>
    <row r="39" spans="1:107">
      <c r="A39" s="10"/>
      <c r="B39" s="10"/>
      <c r="C39" s="11"/>
      <c r="D39" s="11" t="s">
        <v>186</v>
      </c>
      <c r="E39" s="11"/>
      <c r="F39" s="11"/>
      <c r="G39" s="11" t="s">
        <v>187</v>
      </c>
      <c r="H39" s="11"/>
      <c r="I39" s="11"/>
      <c r="J39" s="11"/>
      <c r="K39" s="11"/>
      <c r="L39" s="11"/>
      <c r="M39" s="11"/>
      <c r="N39" s="11"/>
      <c r="O39" s="12"/>
      <c r="P39" s="12"/>
      <c r="Q39" s="13"/>
      <c r="R39" s="13"/>
      <c r="S39" s="14"/>
      <c r="T39" s="14"/>
      <c r="U39" s="14"/>
      <c r="V39" s="17"/>
      <c r="W39" s="14"/>
      <c r="X39" s="14"/>
      <c r="Y39" s="14"/>
      <c r="Z39" s="14"/>
      <c r="AA39" s="14"/>
      <c r="AB39" s="14"/>
      <c r="AC39" s="17"/>
      <c r="AD39" s="14"/>
      <c r="AE39" s="14"/>
      <c r="AF39" s="14"/>
      <c r="AG39" s="14"/>
      <c r="AH39" s="14"/>
      <c r="AI39" s="14"/>
      <c r="AJ39" s="17"/>
      <c r="AK39" s="14"/>
      <c r="AL39" s="14"/>
      <c r="AM39" s="14"/>
      <c r="AN39" s="14"/>
      <c r="AO39" s="14"/>
      <c r="AP39" s="14"/>
      <c r="AQ39" s="17"/>
      <c r="AR39" s="14"/>
      <c r="AS39" s="14"/>
      <c r="AT39" s="14"/>
      <c r="AU39" s="14"/>
      <c r="AV39" s="14"/>
      <c r="AW39" s="14"/>
      <c r="AX39" s="17"/>
      <c r="AY39" s="14"/>
      <c r="AZ39" s="14"/>
      <c r="BA39" s="14"/>
      <c r="BB39" s="14"/>
      <c r="BC39" s="14"/>
      <c r="BD39" s="14"/>
      <c r="BE39" s="17"/>
      <c r="BF39" s="14"/>
      <c r="BG39" s="14"/>
      <c r="BH39" s="14"/>
      <c r="BI39" s="14"/>
      <c r="BJ39" s="14"/>
      <c r="BK39" s="14"/>
      <c r="BL39" s="17"/>
      <c r="BM39" s="14"/>
      <c r="BN39" s="14"/>
      <c r="BO39" s="14"/>
      <c r="BP39" s="14"/>
      <c r="BQ39" s="17"/>
      <c r="BR39" s="14"/>
      <c r="BS39" s="14"/>
      <c r="BT39" s="14"/>
      <c r="BU39" s="14"/>
      <c r="BV39" s="17"/>
      <c r="BW39" s="14"/>
      <c r="BX39" s="14"/>
      <c r="BY39" s="14"/>
      <c r="BZ39" s="14"/>
      <c r="CA39" s="17"/>
      <c r="CB39" s="14"/>
      <c r="CC39" s="14"/>
      <c r="CD39" s="14"/>
      <c r="CE39" s="14"/>
      <c r="CF39" s="17"/>
      <c r="CG39" s="14"/>
      <c r="CH39" s="14"/>
      <c r="CI39" s="14"/>
      <c r="CJ39" s="14"/>
      <c r="CK39" s="17"/>
      <c r="CL39" s="14"/>
      <c r="CM39" s="14"/>
      <c r="CN39" s="14"/>
      <c r="CO39" s="14"/>
      <c r="CP39" s="15"/>
      <c r="CQ39" s="14"/>
      <c r="CR39" s="14"/>
      <c r="CS39" s="14"/>
      <c r="CT39" s="14"/>
      <c r="CU39" s="14"/>
      <c r="CV39" s="14"/>
      <c r="CW39" s="14"/>
      <c r="CX39" s="14"/>
      <c r="CY39" s="14"/>
      <c r="CZ39" s="14"/>
      <c r="DA39" s="14"/>
      <c r="DB39" s="14"/>
      <c r="DC39" s="17"/>
    </row>
    <row r="40" spans="1:107">
      <c r="A40" s="4"/>
      <c r="B40" s="4"/>
      <c r="C40" s="5"/>
      <c r="D40" s="5" t="s">
        <v>188</v>
      </c>
      <c r="E40" s="5"/>
      <c r="F40" s="5"/>
      <c r="G40" s="5" t="s">
        <v>185</v>
      </c>
      <c r="H40" s="5"/>
      <c r="I40" s="5"/>
      <c r="J40" s="5"/>
      <c r="K40" s="5"/>
      <c r="L40" s="5"/>
      <c r="M40" s="5"/>
      <c r="N40" s="5"/>
      <c r="O40" s="6"/>
      <c r="P40" s="6"/>
      <c r="Q40" s="7"/>
      <c r="R40" s="7"/>
      <c r="S40" s="8"/>
      <c r="T40" s="8"/>
      <c r="U40" s="8"/>
      <c r="V40" s="16"/>
      <c r="W40" s="8"/>
      <c r="X40" s="8"/>
      <c r="Y40" s="8"/>
      <c r="Z40" s="8"/>
      <c r="AA40" s="8"/>
      <c r="AB40" s="8"/>
      <c r="AC40" s="16"/>
      <c r="AD40" s="8"/>
      <c r="AE40" s="8"/>
      <c r="AF40" s="8"/>
      <c r="AG40" s="8"/>
      <c r="AH40" s="8"/>
      <c r="AI40" s="8"/>
      <c r="AJ40" s="16"/>
      <c r="AK40" s="8"/>
      <c r="AL40" s="8"/>
      <c r="AM40" s="8"/>
      <c r="AN40" s="8"/>
      <c r="AO40" s="8"/>
      <c r="AP40" s="8"/>
      <c r="AQ40" s="16"/>
      <c r="AR40" s="8"/>
      <c r="AS40" s="8"/>
      <c r="AT40" s="8"/>
      <c r="AU40" s="8"/>
      <c r="AV40" s="8"/>
      <c r="AW40" s="8"/>
      <c r="AX40" s="16"/>
      <c r="AY40" s="8"/>
      <c r="AZ40" s="8"/>
      <c r="BA40" s="8"/>
      <c r="BB40" s="8"/>
      <c r="BC40" s="8"/>
      <c r="BD40" s="8"/>
      <c r="BE40" s="16"/>
      <c r="BF40" s="8"/>
      <c r="BG40" s="8"/>
      <c r="BH40" s="8"/>
      <c r="BI40" s="8"/>
      <c r="BJ40" s="8"/>
      <c r="BK40" s="8"/>
      <c r="BL40" s="16"/>
      <c r="BM40" s="8"/>
      <c r="BN40" s="8"/>
      <c r="BO40" s="8"/>
      <c r="BP40" s="8"/>
      <c r="BQ40" s="16"/>
      <c r="BR40" s="8"/>
      <c r="BS40" s="8"/>
      <c r="BT40" s="8"/>
      <c r="BU40" s="8"/>
      <c r="BV40" s="16"/>
      <c r="BW40" s="8"/>
      <c r="BX40" s="8"/>
      <c r="BY40" s="8"/>
      <c r="BZ40" s="8"/>
      <c r="CA40" s="16"/>
      <c r="CB40" s="8"/>
      <c r="CC40" s="8"/>
      <c r="CD40" s="8"/>
      <c r="CE40" s="8"/>
      <c r="CF40" s="16"/>
      <c r="CG40" s="8"/>
      <c r="CH40" s="8"/>
      <c r="CI40" s="8"/>
      <c r="CJ40" s="8"/>
      <c r="CK40" s="16"/>
      <c r="CL40" s="8"/>
      <c r="CM40" s="8"/>
      <c r="CN40" s="8"/>
      <c r="CO40" s="8"/>
      <c r="CP40" s="9"/>
      <c r="CQ40" s="8"/>
      <c r="CR40" s="8"/>
      <c r="CS40" s="8"/>
      <c r="CT40" s="8"/>
      <c r="CU40" s="8"/>
      <c r="CV40" s="8"/>
      <c r="CW40" s="8"/>
      <c r="CX40" s="8"/>
      <c r="CY40" s="8"/>
      <c r="CZ40" s="8"/>
      <c r="DA40" s="8"/>
      <c r="DB40" s="8"/>
      <c r="DC40" s="16"/>
    </row>
    <row r="41" spans="1:107">
      <c r="A41" s="10"/>
      <c r="B41" s="10"/>
      <c r="C41" s="11"/>
      <c r="D41" s="11" t="s">
        <v>189</v>
      </c>
      <c r="E41" s="11"/>
      <c r="F41" s="11"/>
      <c r="G41" s="11" t="s">
        <v>190</v>
      </c>
      <c r="H41" s="11"/>
      <c r="I41" s="11"/>
      <c r="J41" s="11"/>
      <c r="K41" s="11"/>
      <c r="L41" s="11"/>
      <c r="M41" s="11"/>
      <c r="N41" s="11"/>
      <c r="O41" s="12"/>
      <c r="P41" s="12"/>
      <c r="Q41" s="13"/>
      <c r="R41" s="13"/>
      <c r="S41" s="14"/>
      <c r="T41" s="14"/>
      <c r="U41" s="14"/>
      <c r="V41" s="17"/>
      <c r="W41" s="14"/>
      <c r="X41" s="14"/>
      <c r="Y41" s="14"/>
      <c r="Z41" s="14"/>
      <c r="AA41" s="14"/>
      <c r="AB41" s="14"/>
      <c r="AC41" s="17"/>
      <c r="AD41" s="14"/>
      <c r="AE41" s="14"/>
      <c r="AF41" s="14"/>
      <c r="AG41" s="14"/>
      <c r="AH41" s="14"/>
      <c r="AI41" s="14"/>
      <c r="AJ41" s="17"/>
      <c r="AK41" s="14"/>
      <c r="AL41" s="14"/>
      <c r="AM41" s="14"/>
      <c r="AN41" s="14"/>
      <c r="AO41" s="14"/>
      <c r="AP41" s="14"/>
      <c r="AQ41" s="17"/>
      <c r="AR41" s="14"/>
      <c r="AS41" s="14"/>
      <c r="AT41" s="14"/>
      <c r="AU41" s="14"/>
      <c r="AV41" s="14"/>
      <c r="AW41" s="14"/>
      <c r="AX41" s="17"/>
      <c r="AY41" s="14"/>
      <c r="AZ41" s="14"/>
      <c r="BA41" s="14"/>
      <c r="BB41" s="14"/>
      <c r="BC41" s="14"/>
      <c r="BD41" s="14"/>
      <c r="BE41" s="17"/>
      <c r="BF41" s="14"/>
      <c r="BG41" s="14"/>
      <c r="BH41" s="14"/>
      <c r="BI41" s="14"/>
      <c r="BJ41" s="14"/>
      <c r="BK41" s="14"/>
      <c r="BL41" s="17"/>
      <c r="BM41" s="14"/>
      <c r="BN41" s="14"/>
      <c r="BO41" s="14"/>
      <c r="BP41" s="14"/>
      <c r="BQ41" s="17"/>
      <c r="BR41" s="14"/>
      <c r="BS41" s="14"/>
      <c r="BT41" s="14"/>
      <c r="BU41" s="14"/>
      <c r="BV41" s="17"/>
      <c r="BW41" s="14"/>
      <c r="BX41" s="14"/>
      <c r="BY41" s="14"/>
      <c r="BZ41" s="14"/>
      <c r="CA41" s="17"/>
      <c r="CB41" s="14"/>
      <c r="CC41" s="14"/>
      <c r="CD41" s="14"/>
      <c r="CE41" s="14"/>
      <c r="CF41" s="17"/>
      <c r="CG41" s="14"/>
      <c r="CH41" s="14"/>
      <c r="CI41" s="14"/>
      <c r="CJ41" s="14"/>
      <c r="CK41" s="17"/>
      <c r="CL41" s="14"/>
      <c r="CM41" s="14"/>
      <c r="CN41" s="14"/>
      <c r="CO41" s="14"/>
      <c r="CP41" s="15"/>
      <c r="CQ41" s="14"/>
      <c r="CR41" s="14"/>
      <c r="CS41" s="14"/>
      <c r="CT41" s="14"/>
      <c r="CU41" s="14"/>
      <c r="CV41" s="14"/>
      <c r="CW41" s="14"/>
      <c r="CX41" s="14"/>
      <c r="CY41" s="14"/>
      <c r="CZ41" s="14"/>
      <c r="DA41" s="14"/>
      <c r="DB41" s="14"/>
      <c r="DC41" s="17"/>
    </row>
    <row r="42" spans="1:107">
      <c r="A42" s="4"/>
      <c r="B42" s="4"/>
      <c r="C42" s="5"/>
      <c r="D42" s="5" t="s">
        <v>191</v>
      </c>
      <c r="E42" s="5"/>
      <c r="F42" s="5"/>
      <c r="G42" s="5" t="s">
        <v>193</v>
      </c>
      <c r="H42" s="5" t="s">
        <v>194</v>
      </c>
      <c r="I42" s="5"/>
      <c r="J42" s="5"/>
      <c r="K42" s="5"/>
      <c r="L42" s="5"/>
      <c r="M42" s="5"/>
      <c r="N42" s="5"/>
      <c r="O42" s="6"/>
      <c r="P42" s="6"/>
      <c r="Q42" s="7"/>
      <c r="R42" s="7"/>
      <c r="S42" s="8"/>
      <c r="T42" s="8"/>
      <c r="U42" s="8"/>
      <c r="V42" s="16"/>
      <c r="W42" s="8"/>
      <c r="X42" s="8"/>
      <c r="Y42" s="8"/>
      <c r="Z42" s="8"/>
      <c r="AA42" s="8"/>
      <c r="AB42" s="8"/>
      <c r="AC42" s="16"/>
      <c r="AD42" s="8"/>
      <c r="AE42" s="8"/>
      <c r="AF42" s="8"/>
      <c r="AG42" s="8"/>
      <c r="AH42" s="8"/>
      <c r="AI42" s="8"/>
      <c r="AJ42" s="16"/>
      <c r="AK42" s="8"/>
      <c r="AL42" s="8"/>
      <c r="AM42" s="8"/>
      <c r="AN42" s="8"/>
      <c r="AO42" s="8"/>
      <c r="AP42" s="8"/>
      <c r="AQ42" s="16"/>
      <c r="AR42" s="8"/>
      <c r="AS42" s="8"/>
      <c r="AT42" s="8"/>
      <c r="AU42" s="8"/>
      <c r="AV42" s="8"/>
      <c r="AW42" s="8"/>
      <c r="AX42" s="16"/>
      <c r="AY42" s="8"/>
      <c r="AZ42" s="8"/>
      <c r="BA42" s="8"/>
      <c r="BB42" s="8"/>
      <c r="BC42" s="8"/>
      <c r="BD42" s="8"/>
      <c r="BE42" s="16"/>
      <c r="BF42" s="8"/>
      <c r="BG42" s="8"/>
      <c r="BH42" s="8"/>
      <c r="BI42" s="8"/>
      <c r="BJ42" s="8"/>
      <c r="BK42" s="8"/>
      <c r="BL42" s="16"/>
      <c r="BM42" s="8"/>
      <c r="BN42" s="8"/>
      <c r="BO42" s="8"/>
      <c r="BP42" s="8"/>
      <c r="BQ42" s="16"/>
      <c r="BR42" s="8"/>
      <c r="BS42" s="8"/>
      <c r="BT42" s="8"/>
      <c r="BU42" s="8"/>
      <c r="BV42" s="16"/>
      <c r="BW42" s="8"/>
      <c r="BX42" s="8"/>
      <c r="BY42" s="8"/>
      <c r="BZ42" s="8"/>
      <c r="CA42" s="16"/>
      <c r="CB42" s="8"/>
      <c r="CC42" s="8"/>
      <c r="CD42" s="8"/>
      <c r="CE42" s="8"/>
      <c r="CF42" s="16"/>
      <c r="CG42" s="8"/>
      <c r="CH42" s="8"/>
      <c r="CI42" s="8"/>
      <c r="CJ42" s="8"/>
      <c r="CK42" s="16"/>
      <c r="CL42" s="8"/>
      <c r="CM42" s="8"/>
      <c r="CN42" s="8"/>
      <c r="CO42" s="8"/>
      <c r="CP42" s="9"/>
      <c r="CQ42" s="8"/>
      <c r="CR42" s="8"/>
      <c r="CS42" s="8"/>
      <c r="CT42" s="8"/>
      <c r="CU42" s="8"/>
      <c r="CV42" s="8"/>
      <c r="CW42" s="8"/>
      <c r="CX42" s="8"/>
      <c r="CY42" s="8"/>
      <c r="CZ42" s="8"/>
      <c r="DA42" s="8"/>
      <c r="DB42" s="8"/>
      <c r="DC42" s="16"/>
    </row>
    <row r="43" spans="1:107">
      <c r="A43" s="10"/>
      <c r="B43" s="10"/>
      <c r="C43" s="11"/>
      <c r="D43" s="11"/>
      <c r="E43" s="11"/>
      <c r="F43" s="11"/>
      <c r="G43" s="11" t="s">
        <v>196</v>
      </c>
      <c r="H43" s="11" t="s">
        <v>195</v>
      </c>
      <c r="I43" s="11"/>
      <c r="J43" s="11"/>
      <c r="K43" s="11"/>
      <c r="L43" s="11"/>
      <c r="M43" s="11"/>
      <c r="N43" s="11"/>
      <c r="O43" s="12"/>
      <c r="P43" s="12"/>
      <c r="Q43" s="13"/>
      <c r="R43" s="13"/>
      <c r="S43" s="14"/>
      <c r="T43" s="14"/>
      <c r="U43" s="14"/>
      <c r="V43" s="17"/>
      <c r="W43" s="14"/>
      <c r="X43" s="14"/>
      <c r="Y43" s="14"/>
      <c r="Z43" s="14"/>
      <c r="AA43" s="14"/>
      <c r="AB43" s="14"/>
      <c r="AC43" s="17"/>
      <c r="AD43" s="14"/>
      <c r="AE43" s="14"/>
      <c r="AF43" s="14"/>
      <c r="AG43" s="14"/>
      <c r="AH43" s="14"/>
      <c r="AI43" s="14"/>
      <c r="AJ43" s="17"/>
      <c r="AK43" s="14"/>
      <c r="AL43" s="14"/>
      <c r="AM43" s="14"/>
      <c r="AN43" s="14"/>
      <c r="AO43" s="14"/>
      <c r="AP43" s="14"/>
      <c r="AQ43" s="17"/>
      <c r="AR43" s="14"/>
      <c r="AS43" s="14"/>
      <c r="AT43" s="14"/>
      <c r="AU43" s="14"/>
      <c r="AV43" s="14"/>
      <c r="AW43" s="14"/>
      <c r="AX43" s="17"/>
      <c r="AY43" s="14"/>
      <c r="AZ43" s="14"/>
      <c r="BA43" s="14"/>
      <c r="BB43" s="14"/>
      <c r="BC43" s="14"/>
      <c r="BD43" s="14"/>
      <c r="BE43" s="17"/>
      <c r="BF43" s="14"/>
      <c r="BG43" s="14"/>
      <c r="BH43" s="14"/>
      <c r="BI43" s="14"/>
      <c r="BJ43" s="14"/>
      <c r="BK43" s="14"/>
      <c r="BL43" s="17"/>
      <c r="BM43" s="14"/>
      <c r="BN43" s="14"/>
      <c r="BO43" s="14"/>
      <c r="BP43" s="14"/>
      <c r="BQ43" s="17"/>
      <c r="BR43" s="14"/>
      <c r="BS43" s="14"/>
      <c r="BT43" s="14"/>
      <c r="BU43" s="14"/>
      <c r="BV43" s="17"/>
      <c r="BW43" s="14"/>
      <c r="BX43" s="14"/>
      <c r="BY43" s="14"/>
      <c r="BZ43" s="14"/>
      <c r="CA43" s="17"/>
      <c r="CB43" s="14"/>
      <c r="CC43" s="14"/>
      <c r="CD43" s="14"/>
      <c r="CE43" s="14"/>
      <c r="CF43" s="17"/>
      <c r="CG43" s="14"/>
      <c r="CH43" s="14"/>
      <c r="CI43" s="14"/>
      <c r="CJ43" s="14"/>
      <c r="CK43" s="17"/>
      <c r="CL43" s="14"/>
      <c r="CM43" s="14"/>
      <c r="CN43" s="14"/>
      <c r="CO43" s="14"/>
      <c r="CP43" s="15"/>
      <c r="CQ43" s="14"/>
      <c r="CR43" s="14"/>
      <c r="CS43" s="14"/>
      <c r="CT43" s="14"/>
      <c r="CU43" s="14"/>
      <c r="CV43" s="14"/>
      <c r="CW43" s="14"/>
      <c r="CX43" s="14"/>
      <c r="CY43" s="14"/>
      <c r="CZ43" s="14"/>
      <c r="DA43" s="14"/>
      <c r="DB43" s="14"/>
      <c r="DC43" s="17"/>
    </row>
  </sheetData>
  <phoneticPr fontId="2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AD083C-27DF-4D0F-9289-D3217C9CF4C2}">
  <sheetPr codeName="Sheet2"/>
  <dimension ref="A1:DB33"/>
  <sheetViews>
    <sheetView showGridLines="0" zoomScale="110" zoomScaleNormal="110" workbookViewId="0">
      <pane xSplit="5" ySplit="2" topLeftCell="I3" activePane="bottomRight" state="frozen"/>
      <selection pane="topRight" activeCell="E1" sqref="E1"/>
      <selection pane="bottomLeft" activeCell="A3" sqref="A3"/>
      <selection pane="bottomRight" activeCell="E13" sqref="E13"/>
    </sheetView>
  </sheetViews>
  <sheetFormatPr defaultColWidth="8.83203125" defaultRowHeight="14"/>
  <cols>
    <col min="2" max="2" width="5.1640625" bestFit="1" customWidth="1"/>
    <col min="3" max="3" width="31.6640625" bestFit="1" customWidth="1"/>
    <col min="4" max="4" width="5.1640625" bestFit="1" customWidth="1"/>
    <col min="5" max="5" width="15.6640625" bestFit="1" customWidth="1"/>
    <col min="6" max="6" width="25.1640625" bestFit="1" customWidth="1"/>
    <col min="7" max="7" width="25.6640625" bestFit="1" customWidth="1"/>
    <col min="8" max="8" width="17" bestFit="1" customWidth="1"/>
    <col min="9" max="9" width="9.33203125" bestFit="1" customWidth="1"/>
    <col min="10" max="11" width="17" bestFit="1" customWidth="1"/>
    <col min="12" max="12" width="12.5" bestFit="1" customWidth="1"/>
    <col min="13" max="13" width="11.5" bestFit="1" customWidth="1"/>
    <col min="14" max="15" width="10.6640625" bestFit="1" customWidth="1"/>
    <col min="16" max="17" width="9.33203125" bestFit="1" customWidth="1"/>
    <col min="18" max="18" width="10.1640625" bestFit="1" customWidth="1"/>
    <col min="19" max="19" width="8.5" bestFit="1" customWidth="1"/>
    <col min="20" max="20" width="11" bestFit="1" customWidth="1"/>
    <col min="21" max="21" width="9.83203125" bestFit="1" customWidth="1"/>
    <col min="22" max="22" width="6.33203125" bestFit="1" customWidth="1"/>
    <col min="23" max="23" width="18.83203125" bestFit="1" customWidth="1"/>
    <col min="24" max="24" width="27.83203125" bestFit="1" customWidth="1"/>
    <col min="25" max="26" width="28.83203125" bestFit="1" customWidth="1"/>
    <col min="27" max="27" width="11" bestFit="1" customWidth="1"/>
    <col min="28" max="28" width="9.83203125" bestFit="1" customWidth="1"/>
    <col min="29" max="29" width="6.33203125" bestFit="1" customWidth="1"/>
    <col min="30" max="30" width="18.83203125" bestFit="1" customWidth="1"/>
    <col min="31" max="31" width="27.83203125" bestFit="1" customWidth="1"/>
    <col min="32" max="33" width="28.83203125" bestFit="1" customWidth="1"/>
    <col min="34" max="35" width="9.83203125" bestFit="1" customWidth="1"/>
    <col min="36" max="36" width="6.33203125" bestFit="1" customWidth="1"/>
    <col min="37" max="37" width="18.83203125" bestFit="1" customWidth="1"/>
    <col min="38" max="38" width="27.83203125" bestFit="1" customWidth="1"/>
    <col min="39" max="40" width="28.83203125" bestFit="1" customWidth="1"/>
    <col min="41" max="42" width="9.83203125" bestFit="1" customWidth="1"/>
    <col min="43" max="43" width="7.33203125" bestFit="1" customWidth="1"/>
    <col min="44" max="44" width="19.83203125" bestFit="1" customWidth="1"/>
    <col min="45" max="45" width="28.83203125" bestFit="1" customWidth="1"/>
    <col min="46" max="47" width="29.83203125" bestFit="1" customWidth="1"/>
    <col min="48" max="49" width="9.83203125" bestFit="1" customWidth="1"/>
    <col min="50" max="50" width="7.33203125" bestFit="1" customWidth="1"/>
    <col min="51" max="51" width="19.83203125" bestFit="1" customWidth="1"/>
    <col min="52" max="52" width="28.83203125" bestFit="1" customWidth="1"/>
    <col min="53" max="54" width="29.83203125" bestFit="1" customWidth="1"/>
    <col min="55" max="56" width="9.83203125" bestFit="1" customWidth="1"/>
    <col min="57" max="57" width="7.33203125" bestFit="1" customWidth="1"/>
    <col min="58" max="58" width="19.83203125" bestFit="1" customWidth="1"/>
    <col min="59" max="59" width="28.83203125" bestFit="1" customWidth="1"/>
    <col min="60" max="61" width="29.83203125" bestFit="1" customWidth="1"/>
    <col min="62" max="63" width="9.83203125" bestFit="1" customWidth="1"/>
    <col min="64" max="64" width="6.33203125" bestFit="1" customWidth="1"/>
    <col min="65" max="65" width="18.83203125" bestFit="1" customWidth="1"/>
    <col min="66" max="66" width="27.83203125" bestFit="1" customWidth="1"/>
    <col min="67" max="67" width="11" bestFit="1" customWidth="1"/>
    <col min="68" max="68" width="9.83203125" bestFit="1" customWidth="1"/>
    <col min="69" max="69" width="6.33203125" bestFit="1" customWidth="1"/>
    <col min="70" max="70" width="18.83203125" bestFit="1" customWidth="1"/>
    <col min="71" max="71" width="27.83203125" bestFit="1" customWidth="1"/>
    <col min="72" max="73" width="12.1640625" bestFit="1" customWidth="1"/>
    <col min="74" max="74" width="6.5" bestFit="1" customWidth="1"/>
    <col min="75" max="75" width="18.83203125" bestFit="1" customWidth="1"/>
    <col min="76" max="76" width="27.83203125" bestFit="1" customWidth="1"/>
    <col min="77" max="78" width="9.83203125" bestFit="1" customWidth="1"/>
    <col min="79" max="79" width="6.5" bestFit="1" customWidth="1"/>
    <col min="80" max="80" width="18.83203125" bestFit="1" customWidth="1"/>
    <col min="81" max="81" width="27.83203125" bestFit="1" customWidth="1"/>
    <col min="82" max="83" width="9.83203125" bestFit="1" customWidth="1"/>
    <col min="84" max="84" width="6.5" bestFit="1" customWidth="1"/>
    <col min="85" max="85" width="18.83203125" bestFit="1" customWidth="1"/>
    <col min="86" max="86" width="27.83203125" bestFit="1" customWidth="1"/>
    <col min="87" max="88" width="9.83203125" bestFit="1" customWidth="1"/>
    <col min="89" max="89" width="6.5" bestFit="1" customWidth="1"/>
    <col min="90" max="90" width="18.83203125" bestFit="1" customWidth="1"/>
    <col min="91" max="91" width="27.83203125" bestFit="1" customWidth="1"/>
    <col min="92" max="92" width="9.33203125" bestFit="1" customWidth="1"/>
    <col min="93" max="93" width="14.5" bestFit="1" customWidth="1"/>
    <col min="94" max="94" width="11.33203125" bestFit="1" customWidth="1"/>
    <col min="95" max="95" width="9.5" bestFit="1" customWidth="1"/>
    <col min="96" max="96" width="9.33203125" bestFit="1" customWidth="1"/>
    <col min="97" max="98" width="11.33203125" bestFit="1" customWidth="1"/>
    <col min="99" max="100" width="11.83203125" bestFit="1" customWidth="1"/>
    <col min="101" max="101" width="20" bestFit="1" customWidth="1"/>
    <col min="102" max="102" width="29" bestFit="1" customWidth="1"/>
    <col min="103" max="104" width="30" bestFit="1" customWidth="1"/>
    <col min="105" max="106" width="15.6640625" bestFit="1" customWidth="1"/>
  </cols>
  <sheetData>
    <row r="1" spans="1:106" s="1" customFormat="1"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  <c r="P1" s="2" t="s">
        <v>14</v>
      </c>
      <c r="Q1" s="2" t="s">
        <v>15</v>
      </c>
      <c r="R1" s="3" t="s">
        <v>16</v>
      </c>
      <c r="S1" s="3" t="s">
        <v>17</v>
      </c>
      <c r="T1" s="3" t="s">
        <v>18</v>
      </c>
      <c r="U1" s="3" t="s">
        <v>19</v>
      </c>
      <c r="V1" s="3" t="s">
        <v>20</v>
      </c>
      <c r="W1" s="3" t="s">
        <v>21</v>
      </c>
      <c r="X1" s="3" t="s">
        <v>22</v>
      </c>
      <c r="Y1" s="3" t="s">
        <v>23</v>
      </c>
      <c r="Z1" s="3" t="s">
        <v>24</v>
      </c>
      <c r="AA1" s="3" t="s">
        <v>25</v>
      </c>
      <c r="AB1" s="3" t="s">
        <v>26</v>
      </c>
      <c r="AC1" s="3" t="s">
        <v>27</v>
      </c>
      <c r="AD1" s="3" t="s">
        <v>28</v>
      </c>
      <c r="AE1" s="3" t="s">
        <v>29</v>
      </c>
      <c r="AF1" s="3" t="s">
        <v>30</v>
      </c>
      <c r="AG1" s="3" t="s">
        <v>31</v>
      </c>
      <c r="AH1" s="3" t="s">
        <v>32</v>
      </c>
      <c r="AI1" s="3" t="s">
        <v>33</v>
      </c>
      <c r="AJ1" s="3" t="s">
        <v>34</v>
      </c>
      <c r="AK1" s="3" t="s">
        <v>35</v>
      </c>
      <c r="AL1" s="3" t="s">
        <v>36</v>
      </c>
      <c r="AM1" s="3" t="s">
        <v>37</v>
      </c>
      <c r="AN1" s="3" t="s">
        <v>38</v>
      </c>
      <c r="AO1" s="3" t="s">
        <v>39</v>
      </c>
      <c r="AP1" s="3" t="s">
        <v>40</v>
      </c>
      <c r="AQ1" s="3" t="s">
        <v>41</v>
      </c>
      <c r="AR1" s="3" t="s">
        <v>42</v>
      </c>
      <c r="AS1" s="3" t="s">
        <v>43</v>
      </c>
      <c r="AT1" s="3" t="s">
        <v>44</v>
      </c>
      <c r="AU1" s="3" t="s">
        <v>45</v>
      </c>
      <c r="AV1" s="3" t="s">
        <v>46</v>
      </c>
      <c r="AW1" s="3" t="s">
        <v>47</v>
      </c>
      <c r="AX1" s="3" t="s">
        <v>48</v>
      </c>
      <c r="AY1" s="3" t="s">
        <v>49</v>
      </c>
      <c r="AZ1" s="3" t="s">
        <v>50</v>
      </c>
      <c r="BA1" s="3" t="s">
        <v>51</v>
      </c>
      <c r="BB1" s="3" t="s">
        <v>52</v>
      </c>
      <c r="BC1" s="3" t="s">
        <v>53</v>
      </c>
      <c r="BD1" s="3" t="s">
        <v>54</v>
      </c>
      <c r="BE1" s="3" t="s">
        <v>55</v>
      </c>
      <c r="BF1" s="3" t="s">
        <v>56</v>
      </c>
      <c r="BG1" s="3" t="s">
        <v>57</v>
      </c>
      <c r="BH1" s="3" t="s">
        <v>58</v>
      </c>
      <c r="BI1" s="3" t="s">
        <v>59</v>
      </c>
      <c r="BJ1" s="3" t="s">
        <v>60</v>
      </c>
      <c r="BK1" s="3" t="s">
        <v>61</v>
      </c>
      <c r="BL1" s="3" t="s">
        <v>62</v>
      </c>
      <c r="BM1" s="3" t="s">
        <v>63</v>
      </c>
      <c r="BN1" s="3" t="s">
        <v>64</v>
      </c>
      <c r="BO1" s="3" t="s">
        <v>65</v>
      </c>
      <c r="BP1" s="3" t="s">
        <v>66</v>
      </c>
      <c r="BQ1" s="3" t="s">
        <v>67</v>
      </c>
      <c r="BR1" s="3" t="s">
        <v>68</v>
      </c>
      <c r="BS1" s="3" t="s">
        <v>69</v>
      </c>
      <c r="BT1" s="3" t="s">
        <v>70</v>
      </c>
      <c r="BU1" s="3" t="s">
        <v>71</v>
      </c>
      <c r="BV1" s="3" t="s">
        <v>72</v>
      </c>
      <c r="BW1" s="3" t="s">
        <v>73</v>
      </c>
      <c r="BX1" s="3" t="s">
        <v>74</v>
      </c>
      <c r="BY1" s="3" t="s">
        <v>75</v>
      </c>
      <c r="BZ1" s="3" t="s">
        <v>76</v>
      </c>
      <c r="CA1" s="3" t="s">
        <v>77</v>
      </c>
      <c r="CB1" s="3" t="s">
        <v>78</v>
      </c>
      <c r="CC1" s="3" t="s">
        <v>79</v>
      </c>
      <c r="CD1" s="3" t="s">
        <v>80</v>
      </c>
      <c r="CE1" s="3" t="s">
        <v>81</v>
      </c>
      <c r="CF1" s="3" t="s">
        <v>82</v>
      </c>
      <c r="CG1" s="3" t="s">
        <v>83</v>
      </c>
      <c r="CH1" s="3" t="s">
        <v>84</v>
      </c>
      <c r="CI1" s="3" t="s">
        <v>85</v>
      </c>
      <c r="CJ1" s="3" t="s">
        <v>86</v>
      </c>
      <c r="CK1" s="3" t="s">
        <v>87</v>
      </c>
      <c r="CL1" s="3" t="s">
        <v>88</v>
      </c>
      <c r="CM1" s="3" t="s">
        <v>89</v>
      </c>
      <c r="CN1" s="3" t="s">
        <v>90</v>
      </c>
      <c r="CO1" s="3" t="s">
        <v>91</v>
      </c>
      <c r="CP1" s="3" t="s">
        <v>92</v>
      </c>
      <c r="CQ1" s="3" t="s">
        <v>93</v>
      </c>
      <c r="CR1" s="3" t="s">
        <v>94</v>
      </c>
      <c r="CS1" s="3" t="s">
        <v>95</v>
      </c>
      <c r="CT1" s="3" t="s">
        <v>96</v>
      </c>
      <c r="CU1" s="3" t="s">
        <v>97</v>
      </c>
      <c r="CV1" s="3" t="s">
        <v>98</v>
      </c>
      <c r="CW1" s="3" t="s">
        <v>99</v>
      </c>
      <c r="CX1" s="3" t="s">
        <v>100</v>
      </c>
      <c r="CY1" s="3" t="s">
        <v>101</v>
      </c>
      <c r="CZ1" s="3" t="s">
        <v>102</v>
      </c>
      <c r="DA1" s="3" t="s">
        <v>103</v>
      </c>
      <c r="DB1" s="3" t="s">
        <v>104</v>
      </c>
    </row>
    <row r="2" spans="1:106" s="4" customFormat="1">
      <c r="B2" s="5" t="s">
        <v>105</v>
      </c>
      <c r="C2" s="5" t="s">
        <v>106</v>
      </c>
      <c r="D2" s="5" t="s">
        <v>107</v>
      </c>
      <c r="E2" s="5" t="s">
        <v>108</v>
      </c>
      <c r="F2" s="5"/>
      <c r="G2" s="5">
        <v>129855</v>
      </c>
      <c r="H2" s="5">
        <v>5841813202</v>
      </c>
      <c r="I2" s="5" t="s">
        <v>109</v>
      </c>
      <c r="J2" s="5" t="s">
        <v>110</v>
      </c>
      <c r="K2" s="5" t="s">
        <v>110</v>
      </c>
      <c r="L2" s="5" t="s">
        <v>111</v>
      </c>
      <c r="M2" s="5" t="s">
        <v>112</v>
      </c>
      <c r="N2" s="6" t="s">
        <v>113</v>
      </c>
      <c r="O2" s="6" t="s">
        <v>114</v>
      </c>
      <c r="P2" s="7"/>
      <c r="Q2" s="7"/>
      <c r="R2" s="8">
        <v>0</v>
      </c>
      <c r="S2" s="8">
        <v>0</v>
      </c>
      <c r="T2" s="8">
        <f>1000*V2</f>
        <v>3000</v>
      </c>
      <c r="U2" s="8">
        <f>1000*V2</f>
        <v>3000</v>
      </c>
      <c r="V2" s="8">
        <v>3</v>
      </c>
      <c r="W2" s="8">
        <v>0</v>
      </c>
      <c r="X2" s="8">
        <v>0</v>
      </c>
      <c r="Y2" s="8">
        <v>0</v>
      </c>
      <c r="Z2" s="8">
        <v>0</v>
      </c>
      <c r="AA2" s="8">
        <f>1000*AC2</f>
        <v>5000</v>
      </c>
      <c r="AB2" s="8">
        <f>1000*AC2</f>
        <v>5000</v>
      </c>
      <c r="AC2" s="8">
        <v>5</v>
      </c>
      <c r="AD2" s="8">
        <v>0</v>
      </c>
      <c r="AE2" s="8">
        <v>0</v>
      </c>
      <c r="AF2" s="8">
        <v>0</v>
      </c>
      <c r="AG2" s="8">
        <v>0</v>
      </c>
      <c r="AH2" s="8">
        <f>1000*AJ2</f>
        <v>3000</v>
      </c>
      <c r="AI2" s="8">
        <f>1000*AJ2</f>
        <v>3000</v>
      </c>
      <c r="AJ2" s="8">
        <v>3</v>
      </c>
      <c r="AK2" s="8">
        <v>0</v>
      </c>
      <c r="AL2" s="8">
        <v>0</v>
      </c>
      <c r="AM2" s="8">
        <v>0</v>
      </c>
      <c r="AN2" s="8">
        <v>0</v>
      </c>
      <c r="AO2" s="8">
        <f>1000*AQ2</f>
        <v>3000</v>
      </c>
      <c r="AP2" s="8">
        <f>1000*AQ2</f>
        <v>3000</v>
      </c>
      <c r="AQ2" s="8">
        <v>3</v>
      </c>
      <c r="AR2" s="8">
        <v>0</v>
      </c>
      <c r="AS2" s="8">
        <v>0</v>
      </c>
      <c r="AT2" s="8">
        <v>0</v>
      </c>
      <c r="AU2" s="8">
        <v>0</v>
      </c>
      <c r="AV2" s="8">
        <f>1000*AX2</f>
        <v>3000</v>
      </c>
      <c r="AW2" s="8">
        <f>1000*AX2</f>
        <v>3000</v>
      </c>
      <c r="AX2" s="8">
        <v>3</v>
      </c>
      <c r="AY2" s="8">
        <v>605.26</v>
      </c>
      <c r="AZ2" s="8">
        <v>0</v>
      </c>
      <c r="BA2" s="8">
        <v>0</v>
      </c>
      <c r="BB2" s="8">
        <v>0</v>
      </c>
      <c r="BC2" s="8">
        <f>1000*BE2</f>
        <v>4000</v>
      </c>
      <c r="BD2" s="8">
        <f>1000*BE2</f>
        <v>4000</v>
      </c>
      <c r="BE2" s="8">
        <v>4</v>
      </c>
      <c r="BF2" s="8">
        <v>0</v>
      </c>
      <c r="BG2" s="8">
        <v>0</v>
      </c>
      <c r="BH2" s="8">
        <v>0</v>
      </c>
      <c r="BI2" s="8">
        <v>0</v>
      </c>
      <c r="BJ2" s="8">
        <f>1000*BL2</f>
        <v>4000</v>
      </c>
      <c r="BK2" s="8">
        <f>1000*BL2</f>
        <v>4000</v>
      </c>
      <c r="BL2" s="8">
        <v>4</v>
      </c>
      <c r="BM2" s="8">
        <v>0</v>
      </c>
      <c r="BN2" s="8">
        <v>0</v>
      </c>
      <c r="BO2" s="8">
        <f>1000*BQ2</f>
        <v>2000</v>
      </c>
      <c r="BP2" s="8">
        <f>1000*BQ2</f>
        <v>2000</v>
      </c>
      <c r="BQ2" s="8">
        <v>2</v>
      </c>
      <c r="BR2" s="8">
        <v>0</v>
      </c>
      <c r="BS2" s="8">
        <v>0</v>
      </c>
      <c r="BT2" s="8">
        <f>1000*BV2</f>
        <v>4000</v>
      </c>
      <c r="BU2" s="8">
        <f>1000*BV2</f>
        <v>4000</v>
      </c>
      <c r="BV2" s="8">
        <v>4</v>
      </c>
      <c r="BW2" s="8">
        <v>0</v>
      </c>
      <c r="BX2" s="8">
        <v>0</v>
      </c>
      <c r="BY2" s="8">
        <f>1000*CA2</f>
        <v>4000</v>
      </c>
      <c r="BZ2" s="8">
        <f>1000*CA2</f>
        <v>4000</v>
      </c>
      <c r="CA2" s="8">
        <v>4</v>
      </c>
      <c r="CB2" s="8">
        <v>0</v>
      </c>
      <c r="CC2" s="8">
        <v>0</v>
      </c>
      <c r="CD2" s="8">
        <f>1000*CF2</f>
        <v>4000</v>
      </c>
      <c r="CE2" s="8">
        <f>1000*CF2</f>
        <v>4000</v>
      </c>
      <c r="CF2" s="8">
        <v>4</v>
      </c>
      <c r="CG2" s="8">
        <v>0</v>
      </c>
      <c r="CH2" s="8">
        <v>0</v>
      </c>
      <c r="CI2" s="8">
        <f>1000*CK2</f>
        <v>4000</v>
      </c>
      <c r="CJ2" s="8">
        <f>1000*CK2</f>
        <v>4000</v>
      </c>
      <c r="CK2" s="8">
        <v>4</v>
      </c>
      <c r="CL2" s="8">
        <v>0</v>
      </c>
      <c r="CM2" s="8">
        <v>0</v>
      </c>
      <c r="CN2" s="8">
        <v>0</v>
      </c>
      <c r="CO2" s="9">
        <f>SUM(T2,AA2,AH2,AO2,AV2,BC2,BJ2,BO2,BT2,BY2,CD2,CI2)</f>
        <v>43000</v>
      </c>
      <c r="CP2" s="9">
        <f>SUM(U2,AB2,AI2,AP2,AW2,BD2,BK2,BP2,BU2,BZ2,CE2,CJ2)</f>
        <v>43000</v>
      </c>
      <c r="CQ2" s="8">
        <v>3.5</v>
      </c>
      <c r="CR2" s="8">
        <v>0</v>
      </c>
      <c r="CS2" s="8">
        <v>0</v>
      </c>
      <c r="CT2" s="8">
        <v>0</v>
      </c>
      <c r="CU2" s="8">
        <f>CS2-CO2</f>
        <v>-43000</v>
      </c>
      <c r="CV2" s="8">
        <f>CT2-CP2</f>
        <v>-43000</v>
      </c>
      <c r="CW2" s="8">
        <v>0</v>
      </c>
      <c r="CX2" s="8">
        <v>0</v>
      </c>
      <c r="CY2" s="8">
        <v>0</v>
      </c>
      <c r="CZ2" s="8">
        <v>0</v>
      </c>
      <c r="DA2" s="8">
        <f>CO2</f>
        <v>43000</v>
      </c>
      <c r="DB2" s="8">
        <f>CP2</f>
        <v>43000</v>
      </c>
    </row>
    <row r="3" spans="1:106" s="10" customFormat="1">
      <c r="B3" s="11" t="s">
        <v>105</v>
      </c>
      <c r="C3" s="11" t="s">
        <v>106</v>
      </c>
      <c r="D3" s="11" t="s">
        <v>115</v>
      </c>
      <c r="E3" s="11" t="s">
        <v>116</v>
      </c>
      <c r="F3" s="11"/>
      <c r="G3" s="11">
        <v>129915</v>
      </c>
      <c r="H3" s="11">
        <v>5841813202</v>
      </c>
      <c r="I3" s="11" t="s">
        <v>109</v>
      </c>
      <c r="J3" s="11" t="s">
        <v>117</v>
      </c>
      <c r="K3" s="11" t="s">
        <v>117</v>
      </c>
      <c r="L3" s="11" t="s">
        <v>111</v>
      </c>
      <c r="M3" s="11" t="s">
        <v>112</v>
      </c>
      <c r="N3" s="12" t="s">
        <v>113</v>
      </c>
      <c r="O3" s="12" t="s">
        <v>114</v>
      </c>
      <c r="P3" s="13"/>
      <c r="Q3" s="13"/>
      <c r="R3" s="14">
        <v>0</v>
      </c>
      <c r="S3" s="14">
        <v>0</v>
      </c>
      <c r="T3" s="8">
        <f t="shared" ref="T3:T20" si="0">1000*V3</f>
        <v>5000</v>
      </c>
      <c r="U3" s="8">
        <f t="shared" ref="U3:U20" si="1">1000*V3</f>
        <v>5000</v>
      </c>
      <c r="V3" s="14">
        <v>5</v>
      </c>
      <c r="W3" s="14">
        <v>0</v>
      </c>
      <c r="X3" s="14">
        <v>0</v>
      </c>
      <c r="Y3" s="14">
        <v>0</v>
      </c>
      <c r="Z3" s="14">
        <v>0</v>
      </c>
      <c r="AA3" s="8">
        <f t="shared" ref="AA3:AA20" si="2">1000*AC3</f>
        <v>5000</v>
      </c>
      <c r="AB3" s="8">
        <f t="shared" ref="AB3:AB20" si="3">1000*AC3</f>
        <v>5000</v>
      </c>
      <c r="AC3" s="14">
        <v>5</v>
      </c>
      <c r="AD3" s="14">
        <v>0</v>
      </c>
      <c r="AE3" s="14">
        <v>0</v>
      </c>
      <c r="AF3" s="14">
        <v>0</v>
      </c>
      <c r="AG3" s="8">
        <v>0</v>
      </c>
      <c r="AH3" s="8">
        <f t="shared" ref="AH3:AH20" si="4">1000*AJ3</f>
        <v>5000</v>
      </c>
      <c r="AI3" s="8">
        <f t="shared" ref="AI3:AI20" si="5">1000*AJ3</f>
        <v>5000</v>
      </c>
      <c r="AJ3" s="14">
        <v>5</v>
      </c>
      <c r="AK3" s="14">
        <v>0</v>
      </c>
      <c r="AL3" s="14">
        <v>0</v>
      </c>
      <c r="AM3" s="14">
        <v>0</v>
      </c>
      <c r="AN3" s="8">
        <v>0</v>
      </c>
      <c r="AO3" s="8">
        <f t="shared" ref="AO3:AO20" si="6">1000*AQ3</f>
        <v>5000</v>
      </c>
      <c r="AP3" s="8">
        <f t="shared" ref="AP3:AP20" si="7">1000*AQ3</f>
        <v>5000</v>
      </c>
      <c r="AQ3" s="14">
        <v>5</v>
      </c>
      <c r="AR3" s="14">
        <v>0</v>
      </c>
      <c r="AS3" s="14">
        <v>0</v>
      </c>
      <c r="AT3" s="14">
        <v>0</v>
      </c>
      <c r="AU3" s="8">
        <v>0</v>
      </c>
      <c r="AV3" s="8">
        <f t="shared" ref="AV3:AV20" si="8">1000*AX3</f>
        <v>5000</v>
      </c>
      <c r="AW3" s="8">
        <f t="shared" ref="AW3:AW20" si="9">1000*AX3</f>
        <v>5000</v>
      </c>
      <c r="AX3" s="14">
        <v>5</v>
      </c>
      <c r="AY3" s="14">
        <v>0</v>
      </c>
      <c r="AZ3" s="14">
        <v>0</v>
      </c>
      <c r="BA3" s="14">
        <v>0</v>
      </c>
      <c r="BB3" s="8">
        <v>0</v>
      </c>
      <c r="BC3" s="8">
        <f t="shared" ref="BC3:BC20" si="10">1000*BE3</f>
        <v>5000</v>
      </c>
      <c r="BD3" s="8">
        <f t="shared" ref="BD3:BD20" si="11">1000*BE3</f>
        <v>5000</v>
      </c>
      <c r="BE3" s="14">
        <v>5</v>
      </c>
      <c r="BF3" s="14">
        <v>0</v>
      </c>
      <c r="BG3" s="14">
        <v>0</v>
      </c>
      <c r="BH3" s="14">
        <v>0</v>
      </c>
      <c r="BI3" s="8">
        <v>0</v>
      </c>
      <c r="BJ3" s="8">
        <f t="shared" ref="BJ3:BJ20" si="12">1000*BL3</f>
        <v>5000</v>
      </c>
      <c r="BK3" s="8">
        <f t="shared" ref="BK3:BK20" si="13">1000*BL3</f>
        <v>5000</v>
      </c>
      <c r="BL3" s="14">
        <v>5</v>
      </c>
      <c r="BM3" s="14">
        <v>0</v>
      </c>
      <c r="BN3" s="14">
        <v>0</v>
      </c>
      <c r="BO3" s="8">
        <f t="shared" ref="BO3:BO20" si="14">1000*BQ3</f>
        <v>5000</v>
      </c>
      <c r="BP3" s="8">
        <f t="shared" ref="BP3:BP20" si="15">1000*BQ3</f>
        <v>5000</v>
      </c>
      <c r="BQ3" s="14">
        <v>5</v>
      </c>
      <c r="BR3" s="14">
        <v>0</v>
      </c>
      <c r="BS3" s="14">
        <v>0</v>
      </c>
      <c r="BT3" s="8">
        <f t="shared" ref="BT3:BT20" si="16">1000*BV3</f>
        <v>5000</v>
      </c>
      <c r="BU3" s="8">
        <f t="shared" ref="BU3:BU20" si="17">1000*BV3</f>
        <v>5000</v>
      </c>
      <c r="BV3" s="14">
        <v>5</v>
      </c>
      <c r="BW3" s="14">
        <v>0</v>
      </c>
      <c r="BX3" s="14">
        <v>0</v>
      </c>
      <c r="BY3" s="8">
        <f t="shared" ref="BY3:BY20" si="18">1000*CA3</f>
        <v>5000</v>
      </c>
      <c r="BZ3" s="8">
        <f t="shared" ref="BZ3:BZ20" si="19">1000*CA3</f>
        <v>5000</v>
      </c>
      <c r="CA3" s="14">
        <v>5</v>
      </c>
      <c r="CB3" s="14">
        <v>0</v>
      </c>
      <c r="CC3" s="14">
        <v>0</v>
      </c>
      <c r="CD3" s="8">
        <f t="shared" ref="CD3:CD20" si="20">1000*CF3</f>
        <v>5000</v>
      </c>
      <c r="CE3" s="8">
        <f t="shared" ref="CE3:CE20" si="21">1000*CF3</f>
        <v>5000</v>
      </c>
      <c r="CF3" s="14">
        <v>5</v>
      </c>
      <c r="CG3" s="14">
        <v>0</v>
      </c>
      <c r="CH3" s="14">
        <v>0</v>
      </c>
      <c r="CI3" s="8">
        <f t="shared" ref="CI3:CI20" si="22">1000*CK3</f>
        <v>5000</v>
      </c>
      <c r="CJ3" s="8">
        <f t="shared" ref="CJ3:CJ20" si="23">1000*CK3</f>
        <v>5000</v>
      </c>
      <c r="CK3" s="14">
        <v>5</v>
      </c>
      <c r="CL3" s="14">
        <v>0</v>
      </c>
      <c r="CM3" s="14">
        <v>0</v>
      </c>
      <c r="CN3" s="14">
        <v>0</v>
      </c>
      <c r="CO3" s="9">
        <f t="shared" ref="CO3:CP20" si="24">SUM(T3,AA3,AH3,AO3,AV3,BC3,BJ3,BO3,BT3,BY3,CD3,CI3)</f>
        <v>60000</v>
      </c>
      <c r="CP3" s="9">
        <f t="shared" si="24"/>
        <v>60000</v>
      </c>
      <c r="CQ3" s="14">
        <v>5</v>
      </c>
      <c r="CR3" s="14">
        <v>0</v>
      </c>
      <c r="CS3" s="14">
        <v>0</v>
      </c>
      <c r="CT3" s="14">
        <v>0</v>
      </c>
      <c r="CU3" s="8">
        <f t="shared" ref="CU3:CV20" si="25">CS3-CO3</f>
        <v>-60000</v>
      </c>
      <c r="CV3" s="8">
        <f t="shared" si="25"/>
        <v>-60000</v>
      </c>
      <c r="CW3" s="14">
        <v>0</v>
      </c>
      <c r="CX3" s="14">
        <v>0</v>
      </c>
      <c r="CY3" s="14">
        <v>0</v>
      </c>
      <c r="CZ3" s="14">
        <v>0</v>
      </c>
      <c r="DA3" s="8">
        <f t="shared" ref="DA3:DB20" si="26">CO3</f>
        <v>60000</v>
      </c>
      <c r="DB3" s="8">
        <f t="shared" si="26"/>
        <v>60000</v>
      </c>
    </row>
    <row r="4" spans="1:106" s="4" customFormat="1">
      <c r="A4" s="24">
        <v>1</v>
      </c>
      <c r="B4" s="5" t="s">
        <v>105</v>
      </c>
      <c r="C4" s="5" t="s">
        <v>106</v>
      </c>
      <c r="D4" s="5" t="s">
        <v>107</v>
      </c>
      <c r="E4" s="5" t="s">
        <v>118</v>
      </c>
      <c r="F4" s="5"/>
      <c r="G4" s="5">
        <v>363972</v>
      </c>
      <c r="H4" s="5">
        <v>5841813202</v>
      </c>
      <c r="I4" s="5" t="s">
        <v>109</v>
      </c>
      <c r="J4" s="5" t="s">
        <v>119</v>
      </c>
      <c r="K4" s="5" t="s">
        <v>119</v>
      </c>
      <c r="L4" s="5" t="s">
        <v>111</v>
      </c>
      <c r="M4" s="5" t="s">
        <v>112</v>
      </c>
      <c r="N4" s="6" t="s">
        <v>113</v>
      </c>
      <c r="O4" s="6" t="s">
        <v>114</v>
      </c>
      <c r="P4" s="7"/>
      <c r="Q4" s="7"/>
      <c r="R4" s="8">
        <v>0</v>
      </c>
      <c r="S4" s="8">
        <v>0</v>
      </c>
      <c r="T4" s="8">
        <f t="shared" si="0"/>
        <v>5000</v>
      </c>
      <c r="U4" s="8">
        <f t="shared" si="1"/>
        <v>5000</v>
      </c>
      <c r="V4" s="8">
        <v>5</v>
      </c>
      <c r="W4" s="8">
        <v>0</v>
      </c>
      <c r="X4" s="8">
        <v>0</v>
      </c>
      <c r="Y4" s="8">
        <v>0</v>
      </c>
      <c r="Z4" s="8">
        <v>0</v>
      </c>
      <c r="AA4" s="8">
        <f t="shared" si="2"/>
        <v>5000</v>
      </c>
      <c r="AB4" s="8">
        <f t="shared" si="3"/>
        <v>5000</v>
      </c>
      <c r="AC4" s="8">
        <v>5</v>
      </c>
      <c r="AD4" s="8">
        <v>0</v>
      </c>
      <c r="AE4" s="8">
        <v>0</v>
      </c>
      <c r="AF4" s="8">
        <v>0</v>
      </c>
      <c r="AG4" s="8">
        <v>0</v>
      </c>
      <c r="AH4" s="8">
        <f t="shared" si="4"/>
        <v>5000</v>
      </c>
      <c r="AI4" s="8">
        <f t="shared" si="5"/>
        <v>5000</v>
      </c>
      <c r="AJ4" s="8">
        <v>5</v>
      </c>
      <c r="AK4" s="8">
        <v>0</v>
      </c>
      <c r="AL4" s="8">
        <v>0</v>
      </c>
      <c r="AM4" s="8">
        <v>0</v>
      </c>
      <c r="AN4" s="8">
        <v>0</v>
      </c>
      <c r="AO4" s="8">
        <f t="shared" si="6"/>
        <v>5000</v>
      </c>
      <c r="AP4" s="8">
        <f t="shared" si="7"/>
        <v>5000</v>
      </c>
      <c r="AQ4" s="8">
        <v>5</v>
      </c>
      <c r="AR4" s="8">
        <v>0</v>
      </c>
      <c r="AS4" s="8">
        <v>0</v>
      </c>
      <c r="AT4" s="8">
        <v>0</v>
      </c>
      <c r="AU4" s="8">
        <v>0</v>
      </c>
      <c r="AV4" s="8">
        <f t="shared" si="8"/>
        <v>5000</v>
      </c>
      <c r="AW4" s="8">
        <f t="shared" si="9"/>
        <v>5000</v>
      </c>
      <c r="AX4" s="8">
        <v>5</v>
      </c>
      <c r="AY4" s="8">
        <v>96.01</v>
      </c>
      <c r="AZ4" s="8">
        <v>0</v>
      </c>
      <c r="BA4" s="8">
        <v>0</v>
      </c>
      <c r="BB4" s="8">
        <v>0</v>
      </c>
      <c r="BC4" s="8">
        <f t="shared" si="10"/>
        <v>6000</v>
      </c>
      <c r="BD4" s="8">
        <f t="shared" si="11"/>
        <v>6000</v>
      </c>
      <c r="BE4" s="8">
        <v>6</v>
      </c>
      <c r="BF4" s="8">
        <v>0</v>
      </c>
      <c r="BG4" s="8">
        <v>0</v>
      </c>
      <c r="BH4" s="8">
        <v>0</v>
      </c>
      <c r="BI4" s="8">
        <v>0</v>
      </c>
      <c r="BJ4" s="8">
        <f t="shared" si="12"/>
        <v>6000</v>
      </c>
      <c r="BK4" s="8">
        <f t="shared" si="13"/>
        <v>6000</v>
      </c>
      <c r="BL4" s="8">
        <v>6</v>
      </c>
      <c r="BM4" s="8">
        <v>0</v>
      </c>
      <c r="BN4" s="8">
        <v>0</v>
      </c>
      <c r="BO4" s="8">
        <f t="shared" si="14"/>
        <v>0</v>
      </c>
      <c r="BP4" s="8">
        <f t="shared" si="15"/>
        <v>0</v>
      </c>
      <c r="BQ4" s="8">
        <v>0</v>
      </c>
      <c r="BR4" s="8">
        <v>0</v>
      </c>
      <c r="BS4" s="8">
        <v>0</v>
      </c>
      <c r="BT4" s="8">
        <f t="shared" si="16"/>
        <v>0</v>
      </c>
      <c r="BU4" s="8">
        <f t="shared" si="17"/>
        <v>0</v>
      </c>
      <c r="BV4" s="8">
        <v>0</v>
      </c>
      <c r="BW4" s="8">
        <v>0</v>
      </c>
      <c r="BX4" s="8">
        <v>0</v>
      </c>
      <c r="BY4" s="8">
        <f t="shared" si="18"/>
        <v>0</v>
      </c>
      <c r="BZ4" s="8">
        <f t="shared" si="19"/>
        <v>0</v>
      </c>
      <c r="CA4" s="8">
        <v>0</v>
      </c>
      <c r="CB4" s="8">
        <v>0</v>
      </c>
      <c r="CC4" s="8">
        <v>0</v>
      </c>
      <c r="CD4" s="8">
        <f t="shared" si="20"/>
        <v>0</v>
      </c>
      <c r="CE4" s="8">
        <f t="shared" si="21"/>
        <v>0</v>
      </c>
      <c r="CF4" s="8">
        <v>0</v>
      </c>
      <c r="CG4" s="8">
        <v>0</v>
      </c>
      <c r="CH4" s="8">
        <v>0</v>
      </c>
      <c r="CI4" s="8">
        <f t="shared" si="22"/>
        <v>0</v>
      </c>
      <c r="CJ4" s="8">
        <f t="shared" si="23"/>
        <v>0</v>
      </c>
      <c r="CK4" s="8">
        <v>0</v>
      </c>
      <c r="CL4" s="8">
        <v>0</v>
      </c>
      <c r="CM4" s="8">
        <v>0</v>
      </c>
      <c r="CN4" s="8">
        <v>0</v>
      </c>
      <c r="CO4" s="9">
        <f t="shared" si="24"/>
        <v>37000</v>
      </c>
      <c r="CP4" s="9">
        <f t="shared" si="24"/>
        <v>37000</v>
      </c>
      <c r="CQ4" s="8">
        <v>2.6</v>
      </c>
      <c r="CR4" s="8">
        <v>0</v>
      </c>
      <c r="CS4" s="8">
        <v>0</v>
      </c>
      <c r="CT4" s="8">
        <v>0</v>
      </c>
      <c r="CU4" s="8">
        <f t="shared" si="25"/>
        <v>-37000</v>
      </c>
      <c r="CV4" s="8">
        <f t="shared" si="25"/>
        <v>-37000</v>
      </c>
      <c r="CW4" s="8">
        <v>0</v>
      </c>
      <c r="CX4" s="8">
        <v>0</v>
      </c>
      <c r="CY4" s="8">
        <v>0</v>
      </c>
      <c r="CZ4" s="8">
        <v>0</v>
      </c>
      <c r="DA4" s="8">
        <f t="shared" si="26"/>
        <v>37000</v>
      </c>
      <c r="DB4" s="8">
        <f t="shared" si="26"/>
        <v>37000</v>
      </c>
    </row>
    <row r="5" spans="1:106" s="10" customFormat="1">
      <c r="B5" s="11" t="s">
        <v>105</v>
      </c>
      <c r="C5" s="11" t="s">
        <v>106</v>
      </c>
      <c r="D5" s="11" t="s">
        <v>120</v>
      </c>
      <c r="E5" s="11" t="s">
        <v>121</v>
      </c>
      <c r="F5" s="11"/>
      <c r="G5" s="11">
        <v>365477</v>
      </c>
      <c r="H5" s="11">
        <v>5841813202</v>
      </c>
      <c r="I5" s="11" t="s">
        <v>109</v>
      </c>
      <c r="J5" s="11" t="s">
        <v>122</v>
      </c>
      <c r="K5" s="11" t="s">
        <v>122</v>
      </c>
      <c r="L5" s="11" t="s">
        <v>111</v>
      </c>
      <c r="M5" s="11" t="s">
        <v>112</v>
      </c>
      <c r="N5" s="12" t="s">
        <v>113</v>
      </c>
      <c r="O5" s="12" t="s">
        <v>123</v>
      </c>
      <c r="P5" s="13"/>
      <c r="Q5" s="13"/>
      <c r="R5" s="14">
        <v>0</v>
      </c>
      <c r="S5" s="14">
        <v>0</v>
      </c>
      <c r="T5" s="8">
        <f t="shared" si="0"/>
        <v>6000</v>
      </c>
      <c r="U5" s="8">
        <f t="shared" si="1"/>
        <v>6000</v>
      </c>
      <c r="V5" s="14">
        <v>6</v>
      </c>
      <c r="W5" s="14">
        <v>0</v>
      </c>
      <c r="X5" s="14">
        <v>0</v>
      </c>
      <c r="Y5" s="14">
        <v>0</v>
      </c>
      <c r="Z5" s="14">
        <v>0</v>
      </c>
      <c r="AA5" s="8">
        <f t="shared" si="2"/>
        <v>6000</v>
      </c>
      <c r="AB5" s="8">
        <f t="shared" si="3"/>
        <v>6000</v>
      </c>
      <c r="AC5" s="14">
        <v>6</v>
      </c>
      <c r="AD5" s="14">
        <v>0</v>
      </c>
      <c r="AE5" s="14">
        <v>0</v>
      </c>
      <c r="AF5" s="14">
        <v>0</v>
      </c>
      <c r="AG5" s="8">
        <v>0</v>
      </c>
      <c r="AH5" s="8">
        <f t="shared" si="4"/>
        <v>6000</v>
      </c>
      <c r="AI5" s="8">
        <f t="shared" si="5"/>
        <v>6000</v>
      </c>
      <c r="AJ5" s="14">
        <v>6</v>
      </c>
      <c r="AK5" s="14">
        <v>0</v>
      </c>
      <c r="AL5" s="14">
        <v>0</v>
      </c>
      <c r="AM5" s="14">
        <v>0</v>
      </c>
      <c r="AN5" s="8">
        <v>0</v>
      </c>
      <c r="AO5" s="8">
        <f t="shared" si="6"/>
        <v>6000</v>
      </c>
      <c r="AP5" s="8">
        <f t="shared" si="7"/>
        <v>6000</v>
      </c>
      <c r="AQ5" s="14">
        <v>6</v>
      </c>
      <c r="AR5" s="14">
        <v>0</v>
      </c>
      <c r="AS5" s="14">
        <v>0</v>
      </c>
      <c r="AT5" s="14">
        <v>0</v>
      </c>
      <c r="AU5" s="8">
        <v>0</v>
      </c>
      <c r="AV5" s="8">
        <f t="shared" si="8"/>
        <v>6000</v>
      </c>
      <c r="AW5" s="8">
        <f t="shared" si="9"/>
        <v>6000</v>
      </c>
      <c r="AX5" s="14">
        <v>6</v>
      </c>
      <c r="AY5" s="14">
        <v>0</v>
      </c>
      <c r="AZ5" s="14">
        <v>0</v>
      </c>
      <c r="BA5" s="14">
        <v>0</v>
      </c>
      <c r="BB5" s="8">
        <v>0</v>
      </c>
      <c r="BC5" s="8">
        <f t="shared" si="10"/>
        <v>6000</v>
      </c>
      <c r="BD5" s="8">
        <f t="shared" si="11"/>
        <v>6000</v>
      </c>
      <c r="BE5" s="14">
        <v>6</v>
      </c>
      <c r="BF5" s="14">
        <v>0</v>
      </c>
      <c r="BG5" s="14">
        <v>0</v>
      </c>
      <c r="BH5" s="14">
        <v>0</v>
      </c>
      <c r="BI5" s="8">
        <v>0</v>
      </c>
      <c r="BJ5" s="8">
        <f t="shared" si="12"/>
        <v>6000</v>
      </c>
      <c r="BK5" s="8">
        <f t="shared" si="13"/>
        <v>6000</v>
      </c>
      <c r="BL5" s="14">
        <v>6</v>
      </c>
      <c r="BM5" s="14">
        <v>0</v>
      </c>
      <c r="BN5" s="14">
        <v>0</v>
      </c>
      <c r="BO5" s="8">
        <f t="shared" si="14"/>
        <v>6000</v>
      </c>
      <c r="BP5" s="8">
        <f t="shared" si="15"/>
        <v>6000</v>
      </c>
      <c r="BQ5" s="14">
        <v>6</v>
      </c>
      <c r="BR5" s="14">
        <v>0</v>
      </c>
      <c r="BS5" s="14">
        <v>0</v>
      </c>
      <c r="BT5" s="8">
        <f t="shared" si="16"/>
        <v>6000</v>
      </c>
      <c r="BU5" s="8">
        <f t="shared" si="17"/>
        <v>6000</v>
      </c>
      <c r="BV5" s="14">
        <v>6</v>
      </c>
      <c r="BW5" s="14">
        <v>0</v>
      </c>
      <c r="BX5" s="14">
        <v>0</v>
      </c>
      <c r="BY5" s="8">
        <f t="shared" si="18"/>
        <v>6000</v>
      </c>
      <c r="BZ5" s="8">
        <f t="shared" si="19"/>
        <v>6000</v>
      </c>
      <c r="CA5" s="14">
        <v>6</v>
      </c>
      <c r="CB5" s="14">
        <v>0</v>
      </c>
      <c r="CC5" s="14">
        <v>0</v>
      </c>
      <c r="CD5" s="8">
        <f t="shared" si="20"/>
        <v>6000</v>
      </c>
      <c r="CE5" s="8">
        <f t="shared" si="21"/>
        <v>6000</v>
      </c>
      <c r="CF5" s="14">
        <v>6</v>
      </c>
      <c r="CG5" s="14">
        <v>0</v>
      </c>
      <c r="CH5" s="14">
        <v>0</v>
      </c>
      <c r="CI5" s="8">
        <f t="shared" si="22"/>
        <v>6000</v>
      </c>
      <c r="CJ5" s="8">
        <f t="shared" si="23"/>
        <v>6000</v>
      </c>
      <c r="CK5" s="14">
        <v>6</v>
      </c>
      <c r="CL5" s="14">
        <v>0</v>
      </c>
      <c r="CM5" s="14">
        <v>0</v>
      </c>
      <c r="CN5" s="14">
        <v>0</v>
      </c>
      <c r="CO5" s="9">
        <f t="shared" si="24"/>
        <v>72000</v>
      </c>
      <c r="CP5" s="9">
        <f t="shared" si="24"/>
        <v>72000</v>
      </c>
      <c r="CQ5" s="14">
        <v>6</v>
      </c>
      <c r="CR5" s="14">
        <v>0</v>
      </c>
      <c r="CS5" s="14">
        <v>0</v>
      </c>
      <c r="CT5" s="14">
        <v>0</v>
      </c>
      <c r="CU5" s="8">
        <f t="shared" si="25"/>
        <v>-72000</v>
      </c>
      <c r="CV5" s="8">
        <f t="shared" si="25"/>
        <v>-72000</v>
      </c>
      <c r="CW5" s="14">
        <v>0</v>
      </c>
      <c r="CX5" s="14">
        <v>0</v>
      </c>
      <c r="CY5" s="14">
        <v>0</v>
      </c>
      <c r="CZ5" s="14">
        <v>0</v>
      </c>
      <c r="DA5" s="8">
        <f t="shared" si="26"/>
        <v>72000</v>
      </c>
      <c r="DB5" s="8">
        <f t="shared" si="26"/>
        <v>72000</v>
      </c>
    </row>
    <row r="6" spans="1:106" s="4" customFormat="1">
      <c r="B6" s="5" t="s">
        <v>105</v>
      </c>
      <c r="C6" s="5" t="s">
        <v>106</v>
      </c>
      <c r="D6" s="5" t="s">
        <v>124</v>
      </c>
      <c r="E6" s="5" t="s">
        <v>125</v>
      </c>
      <c r="F6" s="5" t="s">
        <v>126</v>
      </c>
      <c r="G6" s="5">
        <v>36617001</v>
      </c>
      <c r="H6" s="5">
        <v>5841813202</v>
      </c>
      <c r="I6" s="5" t="s">
        <v>109</v>
      </c>
      <c r="J6" s="5" t="s">
        <v>127</v>
      </c>
      <c r="K6" s="5" t="s">
        <v>127</v>
      </c>
      <c r="L6" s="5" t="s">
        <v>111</v>
      </c>
      <c r="M6" s="5" t="s">
        <v>128</v>
      </c>
      <c r="N6" s="6" t="s">
        <v>113</v>
      </c>
      <c r="O6" s="6" t="s">
        <v>114</v>
      </c>
      <c r="P6" s="7"/>
      <c r="Q6" s="7"/>
      <c r="R6" s="8">
        <v>0</v>
      </c>
      <c r="S6" s="8">
        <v>0</v>
      </c>
      <c r="T6" s="8">
        <f t="shared" si="0"/>
        <v>5000</v>
      </c>
      <c r="U6" s="8">
        <f t="shared" si="1"/>
        <v>5000</v>
      </c>
      <c r="V6" s="8">
        <v>5</v>
      </c>
      <c r="W6" s="8">
        <v>0</v>
      </c>
      <c r="X6" s="8">
        <v>0</v>
      </c>
      <c r="Y6" s="8">
        <v>0</v>
      </c>
      <c r="Z6" s="8">
        <v>0</v>
      </c>
      <c r="AA6" s="8">
        <f t="shared" si="2"/>
        <v>5000</v>
      </c>
      <c r="AB6" s="8">
        <f t="shared" si="3"/>
        <v>5000</v>
      </c>
      <c r="AC6" s="8">
        <v>5</v>
      </c>
      <c r="AD6" s="8">
        <v>0</v>
      </c>
      <c r="AE6" s="8">
        <v>0</v>
      </c>
      <c r="AF6" s="8">
        <v>0</v>
      </c>
      <c r="AG6" s="8">
        <v>0</v>
      </c>
      <c r="AH6" s="8">
        <f t="shared" si="4"/>
        <v>6000</v>
      </c>
      <c r="AI6" s="8">
        <f t="shared" si="5"/>
        <v>6000</v>
      </c>
      <c r="AJ6" s="8">
        <v>6</v>
      </c>
      <c r="AK6" s="8">
        <v>0</v>
      </c>
      <c r="AL6" s="8">
        <v>0</v>
      </c>
      <c r="AM6" s="8">
        <v>0</v>
      </c>
      <c r="AN6" s="8">
        <v>0</v>
      </c>
      <c r="AO6" s="8">
        <f t="shared" si="6"/>
        <v>7000</v>
      </c>
      <c r="AP6" s="8">
        <f t="shared" si="7"/>
        <v>7000</v>
      </c>
      <c r="AQ6" s="8">
        <v>7</v>
      </c>
      <c r="AR6" s="8">
        <v>0</v>
      </c>
      <c r="AS6" s="8">
        <v>0</v>
      </c>
      <c r="AT6" s="8">
        <v>0</v>
      </c>
      <c r="AU6" s="8">
        <v>0</v>
      </c>
      <c r="AV6" s="8">
        <f t="shared" si="8"/>
        <v>6000</v>
      </c>
      <c r="AW6" s="8">
        <f t="shared" si="9"/>
        <v>6000</v>
      </c>
      <c r="AX6" s="8">
        <v>6</v>
      </c>
      <c r="AY6" s="8">
        <v>0</v>
      </c>
      <c r="AZ6" s="8">
        <v>0</v>
      </c>
      <c r="BA6" s="8">
        <v>0</v>
      </c>
      <c r="BB6" s="8">
        <v>0</v>
      </c>
      <c r="BC6" s="8">
        <f t="shared" si="10"/>
        <v>6000</v>
      </c>
      <c r="BD6" s="8">
        <f t="shared" si="11"/>
        <v>6000</v>
      </c>
      <c r="BE6" s="8">
        <v>6</v>
      </c>
      <c r="BF6" s="8">
        <v>0</v>
      </c>
      <c r="BG6" s="8">
        <v>0</v>
      </c>
      <c r="BH6" s="8">
        <v>0</v>
      </c>
      <c r="BI6" s="8">
        <v>0</v>
      </c>
      <c r="BJ6" s="8">
        <f t="shared" si="12"/>
        <v>6000</v>
      </c>
      <c r="BK6" s="8">
        <f t="shared" si="13"/>
        <v>6000</v>
      </c>
      <c r="BL6" s="8">
        <v>6</v>
      </c>
      <c r="BM6" s="8">
        <v>0</v>
      </c>
      <c r="BN6" s="8">
        <v>0</v>
      </c>
      <c r="BO6" s="8">
        <f t="shared" si="14"/>
        <v>5000</v>
      </c>
      <c r="BP6" s="8">
        <f t="shared" si="15"/>
        <v>5000</v>
      </c>
      <c r="BQ6" s="8">
        <v>5</v>
      </c>
      <c r="BR6" s="8">
        <v>0</v>
      </c>
      <c r="BS6" s="8">
        <v>0</v>
      </c>
      <c r="BT6" s="8">
        <f t="shared" si="16"/>
        <v>7000</v>
      </c>
      <c r="BU6" s="8">
        <f t="shared" si="17"/>
        <v>7000</v>
      </c>
      <c r="BV6" s="8">
        <v>7</v>
      </c>
      <c r="BW6" s="8">
        <v>0</v>
      </c>
      <c r="BX6" s="8">
        <v>0</v>
      </c>
      <c r="BY6" s="8">
        <f t="shared" si="18"/>
        <v>7000</v>
      </c>
      <c r="BZ6" s="8">
        <f t="shared" si="19"/>
        <v>7000</v>
      </c>
      <c r="CA6" s="8">
        <v>7</v>
      </c>
      <c r="CB6" s="8">
        <v>0</v>
      </c>
      <c r="CC6" s="8">
        <v>0</v>
      </c>
      <c r="CD6" s="8">
        <f t="shared" si="20"/>
        <v>7000</v>
      </c>
      <c r="CE6" s="8">
        <f t="shared" si="21"/>
        <v>7000</v>
      </c>
      <c r="CF6" s="8">
        <v>7</v>
      </c>
      <c r="CG6" s="8">
        <v>0</v>
      </c>
      <c r="CH6" s="8">
        <v>0</v>
      </c>
      <c r="CI6" s="8">
        <f t="shared" si="22"/>
        <v>7000</v>
      </c>
      <c r="CJ6" s="8">
        <f t="shared" si="23"/>
        <v>7000</v>
      </c>
      <c r="CK6" s="8">
        <v>7</v>
      </c>
      <c r="CL6" s="8">
        <v>0</v>
      </c>
      <c r="CM6" s="8">
        <v>0</v>
      </c>
      <c r="CN6" s="8">
        <v>0</v>
      </c>
      <c r="CO6" s="9">
        <f t="shared" si="24"/>
        <v>74000</v>
      </c>
      <c r="CP6" s="9">
        <f t="shared" si="24"/>
        <v>74000</v>
      </c>
      <c r="CQ6" s="8">
        <v>6.2</v>
      </c>
      <c r="CR6" s="8">
        <v>0</v>
      </c>
      <c r="CS6" s="8">
        <v>0</v>
      </c>
      <c r="CT6" s="8">
        <v>0</v>
      </c>
      <c r="CU6" s="8">
        <f t="shared" si="25"/>
        <v>-74000</v>
      </c>
      <c r="CV6" s="8">
        <f t="shared" si="25"/>
        <v>-74000</v>
      </c>
      <c r="CW6" s="8">
        <v>0</v>
      </c>
      <c r="CX6" s="8">
        <v>0</v>
      </c>
      <c r="CY6" s="8">
        <v>0</v>
      </c>
      <c r="CZ6" s="8">
        <v>0</v>
      </c>
      <c r="DA6" s="8">
        <f t="shared" si="26"/>
        <v>74000</v>
      </c>
      <c r="DB6" s="8">
        <f t="shared" si="26"/>
        <v>74000</v>
      </c>
    </row>
    <row r="7" spans="1:106" s="10" customFormat="1">
      <c r="B7" s="11" t="s">
        <v>105</v>
      </c>
      <c r="C7" s="11" t="s">
        <v>106</v>
      </c>
      <c r="D7" s="11" t="s">
        <v>107</v>
      </c>
      <c r="E7" s="11" t="s">
        <v>129</v>
      </c>
      <c r="F7" s="11" t="s">
        <v>126</v>
      </c>
      <c r="G7" s="11">
        <v>36617003</v>
      </c>
      <c r="H7" s="11">
        <v>5842213202</v>
      </c>
      <c r="I7" s="11" t="s">
        <v>109</v>
      </c>
      <c r="J7" s="11" t="s">
        <v>130</v>
      </c>
      <c r="K7" s="11" t="s">
        <v>130</v>
      </c>
      <c r="L7" s="11" t="s">
        <v>111</v>
      </c>
      <c r="M7" s="11" t="s">
        <v>128</v>
      </c>
      <c r="N7" s="12" t="s">
        <v>113</v>
      </c>
      <c r="O7" s="12" t="s">
        <v>114</v>
      </c>
      <c r="P7" s="13"/>
      <c r="Q7" s="13"/>
      <c r="R7" s="14">
        <v>0</v>
      </c>
      <c r="S7" s="14">
        <v>0</v>
      </c>
      <c r="T7" s="8">
        <f t="shared" si="0"/>
        <v>5000</v>
      </c>
      <c r="U7" s="8">
        <f t="shared" si="1"/>
        <v>5000</v>
      </c>
      <c r="V7" s="14">
        <v>5</v>
      </c>
      <c r="W7" s="14">
        <v>0</v>
      </c>
      <c r="X7" s="14">
        <v>0</v>
      </c>
      <c r="Y7" s="14">
        <v>0</v>
      </c>
      <c r="Z7" s="14">
        <v>0</v>
      </c>
      <c r="AA7" s="8">
        <f t="shared" si="2"/>
        <v>5000</v>
      </c>
      <c r="AB7" s="8">
        <f t="shared" si="3"/>
        <v>5000</v>
      </c>
      <c r="AC7" s="14">
        <v>5</v>
      </c>
      <c r="AD7" s="14">
        <v>0</v>
      </c>
      <c r="AE7" s="14">
        <v>0</v>
      </c>
      <c r="AF7" s="14">
        <v>0</v>
      </c>
      <c r="AG7" s="8">
        <v>0</v>
      </c>
      <c r="AH7" s="8">
        <f t="shared" si="4"/>
        <v>6000</v>
      </c>
      <c r="AI7" s="8">
        <f t="shared" si="5"/>
        <v>6000</v>
      </c>
      <c r="AJ7" s="14">
        <v>6</v>
      </c>
      <c r="AK7" s="14">
        <v>0</v>
      </c>
      <c r="AL7" s="14">
        <v>0</v>
      </c>
      <c r="AM7" s="14">
        <v>0</v>
      </c>
      <c r="AN7" s="8">
        <v>0</v>
      </c>
      <c r="AO7" s="8">
        <f t="shared" si="6"/>
        <v>6000</v>
      </c>
      <c r="AP7" s="8">
        <f t="shared" si="7"/>
        <v>6000</v>
      </c>
      <c r="AQ7" s="14">
        <v>6</v>
      </c>
      <c r="AR7" s="14">
        <v>0</v>
      </c>
      <c r="AS7" s="14">
        <v>0</v>
      </c>
      <c r="AT7" s="14">
        <v>0</v>
      </c>
      <c r="AU7" s="8">
        <v>0</v>
      </c>
      <c r="AV7" s="8">
        <f t="shared" si="8"/>
        <v>6000</v>
      </c>
      <c r="AW7" s="8">
        <f t="shared" si="9"/>
        <v>6000</v>
      </c>
      <c r="AX7" s="14">
        <v>6</v>
      </c>
      <c r="AY7" s="14">
        <v>48.42</v>
      </c>
      <c r="AZ7" s="14">
        <v>0</v>
      </c>
      <c r="BA7" s="14">
        <v>0</v>
      </c>
      <c r="BB7" s="8">
        <v>0</v>
      </c>
      <c r="BC7" s="8">
        <f t="shared" si="10"/>
        <v>6000</v>
      </c>
      <c r="BD7" s="8">
        <f t="shared" si="11"/>
        <v>6000</v>
      </c>
      <c r="BE7" s="14">
        <v>6</v>
      </c>
      <c r="BF7" s="14">
        <v>0</v>
      </c>
      <c r="BG7" s="14">
        <v>0</v>
      </c>
      <c r="BH7" s="14">
        <v>0</v>
      </c>
      <c r="BI7" s="8">
        <v>0</v>
      </c>
      <c r="BJ7" s="8">
        <f t="shared" si="12"/>
        <v>6000</v>
      </c>
      <c r="BK7" s="8">
        <f t="shared" si="13"/>
        <v>6000</v>
      </c>
      <c r="BL7" s="14">
        <v>6</v>
      </c>
      <c r="BM7" s="14">
        <v>0</v>
      </c>
      <c r="BN7" s="14">
        <v>0</v>
      </c>
      <c r="BO7" s="8">
        <f t="shared" si="14"/>
        <v>5000</v>
      </c>
      <c r="BP7" s="8">
        <f t="shared" si="15"/>
        <v>5000</v>
      </c>
      <c r="BQ7" s="14">
        <v>5</v>
      </c>
      <c r="BR7" s="14">
        <v>0</v>
      </c>
      <c r="BS7" s="14">
        <v>0</v>
      </c>
      <c r="BT7" s="8">
        <f t="shared" si="16"/>
        <v>6000</v>
      </c>
      <c r="BU7" s="8">
        <f t="shared" si="17"/>
        <v>6000</v>
      </c>
      <c r="BV7" s="14">
        <v>6</v>
      </c>
      <c r="BW7" s="14">
        <v>0</v>
      </c>
      <c r="BX7" s="14">
        <v>0</v>
      </c>
      <c r="BY7" s="8">
        <f t="shared" si="18"/>
        <v>6000</v>
      </c>
      <c r="BZ7" s="8">
        <f t="shared" si="19"/>
        <v>6000</v>
      </c>
      <c r="CA7" s="14">
        <v>6</v>
      </c>
      <c r="CB7" s="14">
        <v>0</v>
      </c>
      <c r="CC7" s="14">
        <v>0</v>
      </c>
      <c r="CD7" s="8">
        <f t="shared" si="20"/>
        <v>6000</v>
      </c>
      <c r="CE7" s="8">
        <f t="shared" si="21"/>
        <v>6000</v>
      </c>
      <c r="CF7" s="14">
        <v>6</v>
      </c>
      <c r="CG7" s="14">
        <v>0</v>
      </c>
      <c r="CH7" s="14">
        <v>0</v>
      </c>
      <c r="CI7" s="8">
        <f t="shared" si="22"/>
        <v>6000</v>
      </c>
      <c r="CJ7" s="8">
        <f t="shared" si="23"/>
        <v>6000</v>
      </c>
      <c r="CK7" s="14">
        <v>6</v>
      </c>
      <c r="CL7" s="14">
        <v>0</v>
      </c>
      <c r="CM7" s="14">
        <v>0</v>
      </c>
      <c r="CN7" s="14">
        <v>0</v>
      </c>
      <c r="CO7" s="9">
        <f t="shared" si="24"/>
        <v>69000</v>
      </c>
      <c r="CP7" s="9">
        <f t="shared" si="24"/>
        <v>69000</v>
      </c>
      <c r="CQ7" s="14">
        <v>5.7</v>
      </c>
      <c r="CR7" s="14">
        <v>0</v>
      </c>
      <c r="CS7" s="14">
        <v>0</v>
      </c>
      <c r="CT7" s="14">
        <v>0</v>
      </c>
      <c r="CU7" s="8">
        <f t="shared" si="25"/>
        <v>-69000</v>
      </c>
      <c r="CV7" s="8">
        <f t="shared" si="25"/>
        <v>-69000</v>
      </c>
      <c r="CW7" s="14">
        <v>0</v>
      </c>
      <c r="CX7" s="14">
        <v>0</v>
      </c>
      <c r="CY7" s="14">
        <v>0</v>
      </c>
      <c r="CZ7" s="14">
        <v>0</v>
      </c>
      <c r="DA7" s="8">
        <f t="shared" si="26"/>
        <v>69000</v>
      </c>
      <c r="DB7" s="8">
        <f t="shared" si="26"/>
        <v>69000</v>
      </c>
    </row>
    <row r="8" spans="1:106" s="4" customFormat="1">
      <c r="B8" s="5" t="s">
        <v>105</v>
      </c>
      <c r="C8" s="5" t="s">
        <v>106</v>
      </c>
      <c r="D8" s="5" t="s">
        <v>131</v>
      </c>
      <c r="E8" s="5" t="s">
        <v>132</v>
      </c>
      <c r="F8" s="5" t="s">
        <v>126</v>
      </c>
      <c r="G8" s="5">
        <v>36617006</v>
      </c>
      <c r="H8" s="5">
        <v>5842083202</v>
      </c>
      <c r="I8" s="5" t="s">
        <v>109</v>
      </c>
      <c r="J8" s="5" t="s">
        <v>133</v>
      </c>
      <c r="K8" s="5" t="s">
        <v>133</v>
      </c>
      <c r="L8" s="5" t="s">
        <v>111</v>
      </c>
      <c r="M8" s="5" t="s">
        <v>128</v>
      </c>
      <c r="N8" s="6" t="s">
        <v>113</v>
      </c>
      <c r="O8" s="6" t="s">
        <v>114</v>
      </c>
      <c r="P8" s="7"/>
      <c r="Q8" s="7"/>
      <c r="R8" s="8">
        <v>0</v>
      </c>
      <c r="S8" s="8">
        <v>0</v>
      </c>
      <c r="T8" s="8">
        <f t="shared" si="0"/>
        <v>6000</v>
      </c>
      <c r="U8" s="8">
        <f t="shared" si="1"/>
        <v>6000</v>
      </c>
      <c r="V8" s="8">
        <v>6</v>
      </c>
      <c r="W8" s="8">
        <v>0</v>
      </c>
      <c r="X8" s="8">
        <v>0</v>
      </c>
      <c r="Y8" s="8">
        <v>0</v>
      </c>
      <c r="Z8" s="8">
        <v>0</v>
      </c>
      <c r="AA8" s="8">
        <f t="shared" si="2"/>
        <v>6000</v>
      </c>
      <c r="AB8" s="8">
        <f t="shared" si="3"/>
        <v>6000</v>
      </c>
      <c r="AC8" s="8">
        <v>6</v>
      </c>
      <c r="AD8" s="8">
        <v>0</v>
      </c>
      <c r="AE8" s="8">
        <v>0</v>
      </c>
      <c r="AF8" s="8">
        <v>0</v>
      </c>
      <c r="AG8" s="8">
        <v>0</v>
      </c>
      <c r="AH8" s="8">
        <f t="shared" si="4"/>
        <v>6000</v>
      </c>
      <c r="AI8" s="8">
        <f t="shared" si="5"/>
        <v>6000</v>
      </c>
      <c r="AJ8" s="8">
        <v>6</v>
      </c>
      <c r="AK8" s="8">
        <v>0</v>
      </c>
      <c r="AL8" s="8">
        <v>0</v>
      </c>
      <c r="AM8" s="8">
        <v>0</v>
      </c>
      <c r="AN8" s="8">
        <v>0</v>
      </c>
      <c r="AO8" s="8">
        <f t="shared" si="6"/>
        <v>7000</v>
      </c>
      <c r="AP8" s="8">
        <f t="shared" si="7"/>
        <v>7000</v>
      </c>
      <c r="AQ8" s="8">
        <v>7</v>
      </c>
      <c r="AR8" s="8">
        <v>0</v>
      </c>
      <c r="AS8" s="8">
        <v>0</v>
      </c>
      <c r="AT8" s="8">
        <v>0</v>
      </c>
      <c r="AU8" s="8">
        <v>0</v>
      </c>
      <c r="AV8" s="8">
        <f t="shared" si="8"/>
        <v>7000</v>
      </c>
      <c r="AW8" s="8">
        <f t="shared" si="9"/>
        <v>7000</v>
      </c>
      <c r="AX8" s="8">
        <v>7</v>
      </c>
      <c r="AY8" s="8">
        <v>0</v>
      </c>
      <c r="AZ8" s="8">
        <v>0</v>
      </c>
      <c r="BA8" s="8">
        <v>0</v>
      </c>
      <c r="BB8" s="8">
        <v>0</v>
      </c>
      <c r="BC8" s="8">
        <f t="shared" si="10"/>
        <v>7000</v>
      </c>
      <c r="BD8" s="8">
        <f t="shared" si="11"/>
        <v>7000</v>
      </c>
      <c r="BE8" s="8">
        <v>7</v>
      </c>
      <c r="BF8" s="8">
        <v>0</v>
      </c>
      <c r="BG8" s="8">
        <v>0</v>
      </c>
      <c r="BH8" s="8">
        <v>0</v>
      </c>
      <c r="BI8" s="8">
        <v>0</v>
      </c>
      <c r="BJ8" s="8">
        <f t="shared" si="12"/>
        <v>7000</v>
      </c>
      <c r="BK8" s="8">
        <f t="shared" si="13"/>
        <v>7000</v>
      </c>
      <c r="BL8" s="8">
        <v>7</v>
      </c>
      <c r="BM8" s="8">
        <v>0</v>
      </c>
      <c r="BN8" s="8">
        <v>0</v>
      </c>
      <c r="BO8" s="8">
        <f t="shared" si="14"/>
        <v>7000</v>
      </c>
      <c r="BP8" s="8">
        <f t="shared" si="15"/>
        <v>7000</v>
      </c>
      <c r="BQ8" s="8">
        <v>7</v>
      </c>
      <c r="BR8" s="8">
        <v>0</v>
      </c>
      <c r="BS8" s="8">
        <v>0</v>
      </c>
      <c r="BT8" s="8">
        <f t="shared" si="16"/>
        <v>7000</v>
      </c>
      <c r="BU8" s="8">
        <f t="shared" si="17"/>
        <v>7000</v>
      </c>
      <c r="BV8" s="8">
        <v>7</v>
      </c>
      <c r="BW8" s="8">
        <v>0</v>
      </c>
      <c r="BX8" s="8">
        <v>0</v>
      </c>
      <c r="BY8" s="8">
        <f t="shared" si="18"/>
        <v>7000</v>
      </c>
      <c r="BZ8" s="8">
        <f t="shared" si="19"/>
        <v>7000</v>
      </c>
      <c r="CA8" s="8">
        <v>7</v>
      </c>
      <c r="CB8" s="8">
        <v>0</v>
      </c>
      <c r="CC8" s="8">
        <v>0</v>
      </c>
      <c r="CD8" s="8">
        <f t="shared" si="20"/>
        <v>7000</v>
      </c>
      <c r="CE8" s="8">
        <f t="shared" si="21"/>
        <v>7000</v>
      </c>
      <c r="CF8" s="8">
        <v>7</v>
      </c>
      <c r="CG8" s="8">
        <v>0</v>
      </c>
      <c r="CH8" s="8">
        <v>0</v>
      </c>
      <c r="CI8" s="8">
        <f t="shared" si="22"/>
        <v>7000</v>
      </c>
      <c r="CJ8" s="8">
        <f t="shared" si="23"/>
        <v>7000</v>
      </c>
      <c r="CK8" s="8">
        <v>7</v>
      </c>
      <c r="CL8" s="8">
        <v>0</v>
      </c>
      <c r="CM8" s="8">
        <v>0</v>
      </c>
      <c r="CN8" s="8">
        <v>0</v>
      </c>
      <c r="CO8" s="9">
        <f t="shared" si="24"/>
        <v>81000</v>
      </c>
      <c r="CP8" s="9">
        <f t="shared" si="24"/>
        <v>81000</v>
      </c>
      <c r="CQ8" s="8">
        <v>6.8</v>
      </c>
      <c r="CR8" s="8">
        <v>0</v>
      </c>
      <c r="CS8" s="8">
        <v>0</v>
      </c>
      <c r="CT8" s="8">
        <v>0</v>
      </c>
      <c r="CU8" s="8">
        <f t="shared" si="25"/>
        <v>-81000</v>
      </c>
      <c r="CV8" s="8">
        <f t="shared" si="25"/>
        <v>-81000</v>
      </c>
      <c r="CW8" s="8">
        <v>0</v>
      </c>
      <c r="CX8" s="8">
        <v>0</v>
      </c>
      <c r="CY8" s="8">
        <v>0</v>
      </c>
      <c r="CZ8" s="8">
        <v>0</v>
      </c>
      <c r="DA8" s="8">
        <f t="shared" si="26"/>
        <v>81000</v>
      </c>
      <c r="DB8" s="8">
        <f t="shared" si="26"/>
        <v>81000</v>
      </c>
    </row>
    <row r="9" spans="1:106" s="10" customFormat="1">
      <c r="B9" s="11" t="s">
        <v>105</v>
      </c>
      <c r="C9" s="11" t="s">
        <v>106</v>
      </c>
      <c r="D9" s="11" t="s">
        <v>134</v>
      </c>
      <c r="E9" s="11" t="s">
        <v>135</v>
      </c>
      <c r="F9" s="11" t="s">
        <v>126</v>
      </c>
      <c r="G9" s="11">
        <v>36617009</v>
      </c>
      <c r="H9" s="11">
        <v>5841993202</v>
      </c>
      <c r="I9" s="11" t="s">
        <v>109</v>
      </c>
      <c r="J9" s="11" t="s">
        <v>136</v>
      </c>
      <c r="K9" s="11" t="s">
        <v>136</v>
      </c>
      <c r="L9" s="11" t="s">
        <v>111</v>
      </c>
      <c r="M9" s="11" t="s">
        <v>128</v>
      </c>
      <c r="N9" s="12" t="s">
        <v>113</v>
      </c>
      <c r="O9" s="12" t="s">
        <v>114</v>
      </c>
      <c r="P9" s="13"/>
      <c r="Q9" s="13"/>
      <c r="R9" s="14">
        <v>0</v>
      </c>
      <c r="S9" s="14">
        <v>0</v>
      </c>
      <c r="T9" s="8">
        <f t="shared" si="0"/>
        <v>7000</v>
      </c>
      <c r="U9" s="8">
        <f t="shared" si="1"/>
        <v>7000</v>
      </c>
      <c r="V9" s="14">
        <v>7</v>
      </c>
      <c r="W9" s="14">
        <v>0</v>
      </c>
      <c r="X9" s="14">
        <v>0</v>
      </c>
      <c r="Y9" s="14">
        <v>0</v>
      </c>
      <c r="Z9" s="14">
        <v>0</v>
      </c>
      <c r="AA9" s="8">
        <f t="shared" si="2"/>
        <v>7000</v>
      </c>
      <c r="AB9" s="8">
        <f t="shared" si="3"/>
        <v>7000</v>
      </c>
      <c r="AC9" s="14">
        <v>7</v>
      </c>
      <c r="AD9" s="14">
        <v>0</v>
      </c>
      <c r="AE9" s="14">
        <v>0</v>
      </c>
      <c r="AF9" s="14">
        <v>0</v>
      </c>
      <c r="AG9" s="8">
        <v>0</v>
      </c>
      <c r="AH9" s="8">
        <f t="shared" si="4"/>
        <v>7000</v>
      </c>
      <c r="AI9" s="8">
        <f t="shared" si="5"/>
        <v>7000</v>
      </c>
      <c r="AJ9" s="14">
        <v>7</v>
      </c>
      <c r="AK9" s="14">
        <v>0</v>
      </c>
      <c r="AL9" s="14">
        <v>0</v>
      </c>
      <c r="AM9" s="14">
        <v>0</v>
      </c>
      <c r="AN9" s="8">
        <v>0</v>
      </c>
      <c r="AO9" s="8">
        <f t="shared" si="6"/>
        <v>7000</v>
      </c>
      <c r="AP9" s="8">
        <f t="shared" si="7"/>
        <v>7000</v>
      </c>
      <c r="AQ9" s="14">
        <v>7</v>
      </c>
      <c r="AR9" s="14">
        <v>0</v>
      </c>
      <c r="AS9" s="14">
        <v>0</v>
      </c>
      <c r="AT9" s="14">
        <v>0</v>
      </c>
      <c r="AU9" s="8">
        <v>0</v>
      </c>
      <c r="AV9" s="8">
        <f t="shared" si="8"/>
        <v>7000</v>
      </c>
      <c r="AW9" s="8">
        <f t="shared" si="9"/>
        <v>7000</v>
      </c>
      <c r="AX9" s="14">
        <v>7</v>
      </c>
      <c r="AY9" s="14">
        <v>0</v>
      </c>
      <c r="AZ9" s="14">
        <v>0</v>
      </c>
      <c r="BA9" s="14">
        <v>0</v>
      </c>
      <c r="BB9" s="8">
        <v>0</v>
      </c>
      <c r="BC9" s="8">
        <f t="shared" si="10"/>
        <v>7000</v>
      </c>
      <c r="BD9" s="8">
        <f t="shared" si="11"/>
        <v>7000</v>
      </c>
      <c r="BE9" s="14">
        <v>7</v>
      </c>
      <c r="BF9" s="14">
        <v>0</v>
      </c>
      <c r="BG9" s="14">
        <v>0</v>
      </c>
      <c r="BH9" s="14">
        <v>0</v>
      </c>
      <c r="BI9" s="8">
        <v>0</v>
      </c>
      <c r="BJ9" s="8">
        <f t="shared" si="12"/>
        <v>7000</v>
      </c>
      <c r="BK9" s="8">
        <f t="shared" si="13"/>
        <v>7000</v>
      </c>
      <c r="BL9" s="14">
        <v>7</v>
      </c>
      <c r="BM9" s="14">
        <v>0</v>
      </c>
      <c r="BN9" s="14">
        <v>0</v>
      </c>
      <c r="BO9" s="8">
        <f t="shared" si="14"/>
        <v>7000</v>
      </c>
      <c r="BP9" s="8">
        <f t="shared" si="15"/>
        <v>7000</v>
      </c>
      <c r="BQ9" s="14">
        <v>7</v>
      </c>
      <c r="BR9" s="14">
        <v>0</v>
      </c>
      <c r="BS9" s="14">
        <v>0</v>
      </c>
      <c r="BT9" s="8">
        <f t="shared" si="16"/>
        <v>7000</v>
      </c>
      <c r="BU9" s="8">
        <f t="shared" si="17"/>
        <v>7000</v>
      </c>
      <c r="BV9" s="14">
        <v>7</v>
      </c>
      <c r="BW9" s="14">
        <v>0</v>
      </c>
      <c r="BX9" s="14">
        <v>0</v>
      </c>
      <c r="BY9" s="8">
        <f t="shared" si="18"/>
        <v>7000</v>
      </c>
      <c r="BZ9" s="8">
        <f t="shared" si="19"/>
        <v>7000</v>
      </c>
      <c r="CA9" s="14">
        <v>7</v>
      </c>
      <c r="CB9" s="14">
        <v>0</v>
      </c>
      <c r="CC9" s="14">
        <v>0</v>
      </c>
      <c r="CD9" s="8">
        <f t="shared" si="20"/>
        <v>7000</v>
      </c>
      <c r="CE9" s="8">
        <f t="shared" si="21"/>
        <v>7000</v>
      </c>
      <c r="CF9" s="14">
        <v>7</v>
      </c>
      <c r="CG9" s="14">
        <v>0</v>
      </c>
      <c r="CH9" s="14">
        <v>0</v>
      </c>
      <c r="CI9" s="8">
        <f t="shared" si="22"/>
        <v>7000</v>
      </c>
      <c r="CJ9" s="8">
        <f t="shared" si="23"/>
        <v>7000</v>
      </c>
      <c r="CK9" s="14">
        <v>7</v>
      </c>
      <c r="CL9" s="14">
        <v>0</v>
      </c>
      <c r="CM9" s="14">
        <v>0</v>
      </c>
      <c r="CN9" s="14">
        <v>0</v>
      </c>
      <c r="CO9" s="9">
        <f t="shared" si="24"/>
        <v>84000</v>
      </c>
      <c r="CP9" s="9">
        <f t="shared" si="24"/>
        <v>84000</v>
      </c>
      <c r="CQ9" s="14">
        <v>7.1</v>
      </c>
      <c r="CR9" s="14">
        <v>0</v>
      </c>
      <c r="CS9" s="14">
        <v>0</v>
      </c>
      <c r="CT9" s="14">
        <v>0</v>
      </c>
      <c r="CU9" s="8">
        <f t="shared" si="25"/>
        <v>-84000</v>
      </c>
      <c r="CV9" s="8">
        <f t="shared" si="25"/>
        <v>-84000</v>
      </c>
      <c r="CW9" s="14">
        <v>0</v>
      </c>
      <c r="CX9" s="14">
        <v>0</v>
      </c>
      <c r="CY9" s="14">
        <v>0</v>
      </c>
      <c r="CZ9" s="14">
        <v>0</v>
      </c>
      <c r="DA9" s="8">
        <f t="shared" si="26"/>
        <v>84000</v>
      </c>
      <c r="DB9" s="8">
        <f t="shared" si="26"/>
        <v>84000</v>
      </c>
    </row>
    <row r="10" spans="1:106" s="4" customFormat="1">
      <c r="B10" s="5" t="s">
        <v>105</v>
      </c>
      <c r="C10" s="5" t="s">
        <v>106</v>
      </c>
      <c r="D10" s="5" t="s">
        <v>134</v>
      </c>
      <c r="E10" s="5" t="s">
        <v>137</v>
      </c>
      <c r="F10" s="5"/>
      <c r="G10" s="5">
        <v>370316</v>
      </c>
      <c r="H10" s="5">
        <v>5841813202</v>
      </c>
      <c r="I10" s="5" t="s">
        <v>109</v>
      </c>
      <c r="J10" s="5" t="s">
        <v>138</v>
      </c>
      <c r="K10" s="5" t="s">
        <v>138</v>
      </c>
      <c r="L10" s="5" t="s">
        <v>111</v>
      </c>
      <c r="M10" s="5" t="s">
        <v>112</v>
      </c>
      <c r="N10" s="6" t="s">
        <v>113</v>
      </c>
      <c r="O10" s="6" t="s">
        <v>114</v>
      </c>
      <c r="P10" s="7"/>
      <c r="Q10" s="7"/>
      <c r="R10" s="8">
        <v>0</v>
      </c>
      <c r="S10" s="8">
        <v>0</v>
      </c>
      <c r="T10" s="8">
        <f t="shared" si="0"/>
        <v>4000</v>
      </c>
      <c r="U10" s="8">
        <f t="shared" si="1"/>
        <v>4000</v>
      </c>
      <c r="V10" s="8">
        <v>4</v>
      </c>
      <c r="W10" s="8">
        <v>0</v>
      </c>
      <c r="X10" s="8">
        <v>0</v>
      </c>
      <c r="Y10" s="8">
        <v>0</v>
      </c>
      <c r="Z10" s="8">
        <v>0</v>
      </c>
      <c r="AA10" s="8">
        <f t="shared" si="2"/>
        <v>4000</v>
      </c>
      <c r="AB10" s="8">
        <f t="shared" si="3"/>
        <v>4000</v>
      </c>
      <c r="AC10" s="8">
        <v>4</v>
      </c>
      <c r="AD10" s="8">
        <v>0</v>
      </c>
      <c r="AE10" s="8">
        <v>0</v>
      </c>
      <c r="AF10" s="8">
        <v>0</v>
      </c>
      <c r="AG10" s="8">
        <v>0</v>
      </c>
      <c r="AH10" s="8">
        <f t="shared" si="4"/>
        <v>4000</v>
      </c>
      <c r="AI10" s="8">
        <f t="shared" si="5"/>
        <v>4000</v>
      </c>
      <c r="AJ10" s="8">
        <v>4</v>
      </c>
      <c r="AK10" s="8">
        <v>0</v>
      </c>
      <c r="AL10" s="8">
        <v>0</v>
      </c>
      <c r="AM10" s="8">
        <v>0</v>
      </c>
      <c r="AN10" s="8">
        <v>0</v>
      </c>
      <c r="AO10" s="8">
        <f t="shared" si="6"/>
        <v>4000</v>
      </c>
      <c r="AP10" s="8">
        <f t="shared" si="7"/>
        <v>4000</v>
      </c>
      <c r="AQ10" s="8">
        <v>4</v>
      </c>
      <c r="AR10" s="8">
        <v>0</v>
      </c>
      <c r="AS10" s="8">
        <v>0</v>
      </c>
      <c r="AT10" s="8">
        <v>0</v>
      </c>
      <c r="AU10" s="8">
        <v>0</v>
      </c>
      <c r="AV10" s="8">
        <f t="shared" si="8"/>
        <v>4000</v>
      </c>
      <c r="AW10" s="8">
        <f t="shared" si="9"/>
        <v>4000</v>
      </c>
      <c r="AX10" s="8">
        <v>4</v>
      </c>
      <c r="AY10" s="8">
        <v>0</v>
      </c>
      <c r="AZ10" s="8">
        <v>0</v>
      </c>
      <c r="BA10" s="8">
        <v>0</v>
      </c>
      <c r="BB10" s="8">
        <v>0</v>
      </c>
      <c r="BC10" s="8">
        <f t="shared" si="10"/>
        <v>4000</v>
      </c>
      <c r="BD10" s="8">
        <f t="shared" si="11"/>
        <v>4000</v>
      </c>
      <c r="BE10" s="8">
        <v>4</v>
      </c>
      <c r="BF10" s="8">
        <v>0</v>
      </c>
      <c r="BG10" s="8">
        <v>0</v>
      </c>
      <c r="BH10" s="8">
        <v>0</v>
      </c>
      <c r="BI10" s="8">
        <v>0</v>
      </c>
      <c r="BJ10" s="8">
        <f t="shared" si="12"/>
        <v>4000</v>
      </c>
      <c r="BK10" s="8">
        <f t="shared" si="13"/>
        <v>4000</v>
      </c>
      <c r="BL10" s="8">
        <v>4</v>
      </c>
      <c r="BM10" s="8">
        <v>0</v>
      </c>
      <c r="BN10" s="8">
        <v>0</v>
      </c>
      <c r="BO10" s="8">
        <f t="shared" si="14"/>
        <v>4000</v>
      </c>
      <c r="BP10" s="8">
        <f t="shared" si="15"/>
        <v>4000</v>
      </c>
      <c r="BQ10" s="8">
        <v>4</v>
      </c>
      <c r="BR10" s="8">
        <v>0</v>
      </c>
      <c r="BS10" s="8">
        <v>0</v>
      </c>
      <c r="BT10" s="8">
        <f t="shared" si="16"/>
        <v>4000</v>
      </c>
      <c r="BU10" s="8">
        <f t="shared" si="17"/>
        <v>4000</v>
      </c>
      <c r="BV10" s="8">
        <v>4</v>
      </c>
      <c r="BW10" s="8">
        <v>0</v>
      </c>
      <c r="BX10" s="8">
        <v>0</v>
      </c>
      <c r="BY10" s="8">
        <f t="shared" si="18"/>
        <v>4000</v>
      </c>
      <c r="BZ10" s="8">
        <f t="shared" si="19"/>
        <v>4000</v>
      </c>
      <c r="CA10" s="8">
        <v>4</v>
      </c>
      <c r="CB10" s="8">
        <v>0</v>
      </c>
      <c r="CC10" s="8">
        <v>0</v>
      </c>
      <c r="CD10" s="8">
        <f t="shared" si="20"/>
        <v>4000</v>
      </c>
      <c r="CE10" s="8">
        <f t="shared" si="21"/>
        <v>4000</v>
      </c>
      <c r="CF10" s="8">
        <v>4</v>
      </c>
      <c r="CG10" s="8">
        <v>0</v>
      </c>
      <c r="CH10" s="8">
        <v>0</v>
      </c>
      <c r="CI10" s="8">
        <f t="shared" si="22"/>
        <v>4000</v>
      </c>
      <c r="CJ10" s="8">
        <f t="shared" si="23"/>
        <v>4000</v>
      </c>
      <c r="CK10" s="8">
        <v>4</v>
      </c>
      <c r="CL10" s="8">
        <v>0</v>
      </c>
      <c r="CM10" s="8">
        <v>0</v>
      </c>
      <c r="CN10" s="8">
        <v>0</v>
      </c>
      <c r="CO10" s="9">
        <f t="shared" si="24"/>
        <v>48000</v>
      </c>
      <c r="CP10" s="9">
        <f t="shared" si="24"/>
        <v>48000</v>
      </c>
      <c r="CQ10" s="8">
        <v>4</v>
      </c>
      <c r="CR10" s="8">
        <v>0</v>
      </c>
      <c r="CS10" s="8">
        <v>0</v>
      </c>
      <c r="CT10" s="8">
        <v>0</v>
      </c>
      <c r="CU10" s="8">
        <f t="shared" si="25"/>
        <v>-48000</v>
      </c>
      <c r="CV10" s="8">
        <f t="shared" si="25"/>
        <v>-48000</v>
      </c>
      <c r="CW10" s="8">
        <v>0</v>
      </c>
      <c r="CX10" s="8">
        <v>0</v>
      </c>
      <c r="CY10" s="8">
        <v>0</v>
      </c>
      <c r="CZ10" s="8">
        <v>0</v>
      </c>
      <c r="DA10" s="8">
        <f t="shared" si="26"/>
        <v>48000</v>
      </c>
      <c r="DB10" s="8">
        <f t="shared" si="26"/>
        <v>48000</v>
      </c>
    </row>
    <row r="11" spans="1:106" s="10" customFormat="1">
      <c r="B11" s="11" t="s">
        <v>105</v>
      </c>
      <c r="C11" s="11" t="s">
        <v>106</v>
      </c>
      <c r="D11" s="11" t="s">
        <v>139</v>
      </c>
      <c r="E11" s="11" t="s">
        <v>140</v>
      </c>
      <c r="F11" s="11"/>
      <c r="G11" s="11">
        <v>375725</v>
      </c>
      <c r="H11" s="11">
        <v>5841813202</v>
      </c>
      <c r="I11" s="11" t="s">
        <v>109</v>
      </c>
      <c r="J11" s="11" t="s">
        <v>141</v>
      </c>
      <c r="K11" s="11" t="s">
        <v>141</v>
      </c>
      <c r="L11" s="11" t="s">
        <v>111</v>
      </c>
      <c r="M11" s="11" t="s">
        <v>112</v>
      </c>
      <c r="N11" s="12" t="s">
        <v>113</v>
      </c>
      <c r="O11" s="12"/>
      <c r="P11" s="13"/>
      <c r="Q11" s="13"/>
      <c r="R11" s="14">
        <v>0</v>
      </c>
      <c r="S11" s="14">
        <v>0</v>
      </c>
      <c r="T11" s="8">
        <f t="shared" si="0"/>
        <v>5000</v>
      </c>
      <c r="U11" s="8">
        <f t="shared" si="1"/>
        <v>5000</v>
      </c>
      <c r="V11" s="14">
        <v>5</v>
      </c>
      <c r="W11" s="14">
        <v>0</v>
      </c>
      <c r="X11" s="14">
        <v>0</v>
      </c>
      <c r="Y11" s="14">
        <v>0</v>
      </c>
      <c r="Z11" s="14">
        <v>0</v>
      </c>
      <c r="AA11" s="8">
        <f t="shared" si="2"/>
        <v>5000</v>
      </c>
      <c r="AB11" s="8">
        <f t="shared" si="3"/>
        <v>5000</v>
      </c>
      <c r="AC11" s="14">
        <v>5</v>
      </c>
      <c r="AD11" s="14">
        <v>0</v>
      </c>
      <c r="AE11" s="14">
        <v>0</v>
      </c>
      <c r="AF11" s="14">
        <v>0</v>
      </c>
      <c r="AG11" s="8">
        <v>0</v>
      </c>
      <c r="AH11" s="8">
        <f t="shared" si="4"/>
        <v>5000</v>
      </c>
      <c r="AI11" s="8">
        <f t="shared" si="5"/>
        <v>5000</v>
      </c>
      <c r="AJ11" s="14">
        <v>5</v>
      </c>
      <c r="AK11" s="14">
        <v>0</v>
      </c>
      <c r="AL11" s="14">
        <v>0</v>
      </c>
      <c r="AM11" s="14">
        <v>0</v>
      </c>
      <c r="AN11" s="8">
        <v>0</v>
      </c>
      <c r="AO11" s="8">
        <f t="shared" si="6"/>
        <v>5000</v>
      </c>
      <c r="AP11" s="8">
        <f t="shared" si="7"/>
        <v>5000</v>
      </c>
      <c r="AQ11" s="14">
        <v>5</v>
      </c>
      <c r="AR11" s="14">
        <v>0</v>
      </c>
      <c r="AS11" s="14">
        <v>0</v>
      </c>
      <c r="AT11" s="14">
        <v>0</v>
      </c>
      <c r="AU11" s="8">
        <v>0</v>
      </c>
      <c r="AV11" s="8">
        <f t="shared" si="8"/>
        <v>5000</v>
      </c>
      <c r="AW11" s="8">
        <f t="shared" si="9"/>
        <v>5000</v>
      </c>
      <c r="AX11" s="14">
        <v>5</v>
      </c>
      <c r="AY11" s="14">
        <v>0</v>
      </c>
      <c r="AZ11" s="14">
        <v>0</v>
      </c>
      <c r="BA11" s="14">
        <v>0</v>
      </c>
      <c r="BB11" s="8">
        <v>0</v>
      </c>
      <c r="BC11" s="8">
        <f t="shared" si="10"/>
        <v>5000</v>
      </c>
      <c r="BD11" s="8">
        <f t="shared" si="11"/>
        <v>5000</v>
      </c>
      <c r="BE11" s="14">
        <v>5</v>
      </c>
      <c r="BF11" s="14">
        <v>0</v>
      </c>
      <c r="BG11" s="14">
        <v>0</v>
      </c>
      <c r="BH11" s="14">
        <v>0</v>
      </c>
      <c r="BI11" s="8">
        <v>0</v>
      </c>
      <c r="BJ11" s="8">
        <f t="shared" si="12"/>
        <v>5000</v>
      </c>
      <c r="BK11" s="8">
        <f t="shared" si="13"/>
        <v>5000</v>
      </c>
      <c r="BL11" s="14">
        <v>5</v>
      </c>
      <c r="BM11" s="14">
        <v>0</v>
      </c>
      <c r="BN11" s="14">
        <v>0</v>
      </c>
      <c r="BO11" s="8">
        <f t="shared" si="14"/>
        <v>5000</v>
      </c>
      <c r="BP11" s="8">
        <f t="shared" si="15"/>
        <v>5000</v>
      </c>
      <c r="BQ11" s="14">
        <v>5</v>
      </c>
      <c r="BR11" s="14">
        <v>0</v>
      </c>
      <c r="BS11" s="14">
        <v>0</v>
      </c>
      <c r="BT11" s="8">
        <f t="shared" si="16"/>
        <v>5000</v>
      </c>
      <c r="BU11" s="8">
        <f t="shared" si="17"/>
        <v>5000</v>
      </c>
      <c r="BV11" s="14">
        <v>5</v>
      </c>
      <c r="BW11" s="14">
        <v>0</v>
      </c>
      <c r="BX11" s="14">
        <v>0</v>
      </c>
      <c r="BY11" s="8">
        <f t="shared" si="18"/>
        <v>5000</v>
      </c>
      <c r="BZ11" s="8">
        <f t="shared" si="19"/>
        <v>5000</v>
      </c>
      <c r="CA11" s="14">
        <v>5</v>
      </c>
      <c r="CB11" s="14">
        <v>0</v>
      </c>
      <c r="CC11" s="14">
        <v>0</v>
      </c>
      <c r="CD11" s="8">
        <f t="shared" si="20"/>
        <v>5000</v>
      </c>
      <c r="CE11" s="8">
        <f t="shared" si="21"/>
        <v>5000</v>
      </c>
      <c r="CF11" s="14">
        <v>5</v>
      </c>
      <c r="CG11" s="14">
        <v>0</v>
      </c>
      <c r="CH11" s="14">
        <v>0</v>
      </c>
      <c r="CI11" s="8">
        <f t="shared" si="22"/>
        <v>5000</v>
      </c>
      <c r="CJ11" s="8">
        <f t="shared" si="23"/>
        <v>5000</v>
      </c>
      <c r="CK11" s="14">
        <v>5</v>
      </c>
      <c r="CL11" s="14">
        <v>0</v>
      </c>
      <c r="CM11" s="14">
        <v>0</v>
      </c>
      <c r="CN11" s="14">
        <v>0</v>
      </c>
      <c r="CO11" s="9">
        <f t="shared" si="24"/>
        <v>60000</v>
      </c>
      <c r="CP11" s="9">
        <f t="shared" si="24"/>
        <v>60000</v>
      </c>
      <c r="CQ11" s="14">
        <v>5</v>
      </c>
      <c r="CR11" s="14">
        <v>0</v>
      </c>
      <c r="CS11" s="14">
        <v>0</v>
      </c>
      <c r="CT11" s="14">
        <v>0</v>
      </c>
      <c r="CU11" s="8">
        <f t="shared" si="25"/>
        <v>-60000</v>
      </c>
      <c r="CV11" s="8">
        <f t="shared" si="25"/>
        <v>-60000</v>
      </c>
      <c r="CW11" s="14">
        <v>0</v>
      </c>
      <c r="CX11" s="14">
        <v>0</v>
      </c>
      <c r="CY11" s="14">
        <v>0</v>
      </c>
      <c r="CZ11" s="14">
        <v>0</v>
      </c>
      <c r="DA11" s="8">
        <f t="shared" si="26"/>
        <v>60000</v>
      </c>
      <c r="DB11" s="8">
        <f t="shared" si="26"/>
        <v>60000</v>
      </c>
    </row>
    <row r="12" spans="1:106" s="4" customFormat="1">
      <c r="B12" s="5" t="s">
        <v>105</v>
      </c>
      <c r="C12" s="5" t="s">
        <v>106</v>
      </c>
      <c r="D12" s="5" t="s">
        <v>142</v>
      </c>
      <c r="E12" s="5" t="s">
        <v>143</v>
      </c>
      <c r="F12" s="5"/>
      <c r="G12" s="5">
        <v>375953</v>
      </c>
      <c r="H12" s="5">
        <v>5841813202</v>
      </c>
      <c r="I12" s="5" t="s">
        <v>109</v>
      </c>
      <c r="J12" s="5" t="s">
        <v>144</v>
      </c>
      <c r="K12" s="5" t="s">
        <v>144</v>
      </c>
      <c r="L12" s="5" t="s">
        <v>111</v>
      </c>
      <c r="M12" s="5" t="s">
        <v>112</v>
      </c>
      <c r="N12" s="6" t="s">
        <v>113</v>
      </c>
      <c r="O12" s="6"/>
      <c r="P12" s="7"/>
      <c r="Q12" s="7"/>
      <c r="R12" s="8">
        <v>0</v>
      </c>
      <c r="S12" s="8">
        <v>0</v>
      </c>
      <c r="T12" s="8">
        <f t="shared" si="0"/>
        <v>4000</v>
      </c>
      <c r="U12" s="8">
        <f t="shared" si="1"/>
        <v>4000</v>
      </c>
      <c r="V12" s="8">
        <v>4</v>
      </c>
      <c r="W12" s="8">
        <v>0</v>
      </c>
      <c r="X12" s="8">
        <v>0</v>
      </c>
      <c r="Y12" s="8">
        <v>0</v>
      </c>
      <c r="Z12" s="8">
        <v>0</v>
      </c>
      <c r="AA12" s="8">
        <f t="shared" si="2"/>
        <v>4000</v>
      </c>
      <c r="AB12" s="8">
        <f t="shared" si="3"/>
        <v>4000</v>
      </c>
      <c r="AC12" s="8">
        <v>4</v>
      </c>
      <c r="AD12" s="8">
        <v>0</v>
      </c>
      <c r="AE12" s="8">
        <v>0</v>
      </c>
      <c r="AF12" s="8">
        <v>0</v>
      </c>
      <c r="AG12" s="8">
        <v>0</v>
      </c>
      <c r="AH12" s="8">
        <f t="shared" si="4"/>
        <v>4000</v>
      </c>
      <c r="AI12" s="8">
        <f t="shared" si="5"/>
        <v>4000</v>
      </c>
      <c r="AJ12" s="8">
        <v>4</v>
      </c>
      <c r="AK12" s="8">
        <v>0</v>
      </c>
      <c r="AL12" s="8">
        <v>0</v>
      </c>
      <c r="AM12" s="8">
        <v>0</v>
      </c>
      <c r="AN12" s="8">
        <v>0</v>
      </c>
      <c r="AO12" s="8">
        <f t="shared" si="6"/>
        <v>4000</v>
      </c>
      <c r="AP12" s="8">
        <f t="shared" si="7"/>
        <v>4000</v>
      </c>
      <c r="AQ12" s="8">
        <v>4</v>
      </c>
      <c r="AR12" s="8">
        <v>0</v>
      </c>
      <c r="AS12" s="8">
        <v>0</v>
      </c>
      <c r="AT12" s="8">
        <v>0</v>
      </c>
      <c r="AU12" s="8">
        <v>0</v>
      </c>
      <c r="AV12" s="8">
        <f t="shared" si="8"/>
        <v>4000</v>
      </c>
      <c r="AW12" s="8">
        <f t="shared" si="9"/>
        <v>4000</v>
      </c>
      <c r="AX12" s="8">
        <v>4</v>
      </c>
      <c r="AY12" s="8">
        <v>68.319999999999993</v>
      </c>
      <c r="AZ12" s="8">
        <v>0</v>
      </c>
      <c r="BA12" s="8">
        <v>0</v>
      </c>
      <c r="BB12" s="8">
        <v>0</v>
      </c>
      <c r="BC12" s="8">
        <f t="shared" si="10"/>
        <v>4000</v>
      </c>
      <c r="BD12" s="8">
        <f t="shared" si="11"/>
        <v>4000</v>
      </c>
      <c r="BE12" s="8">
        <v>4</v>
      </c>
      <c r="BF12" s="8">
        <v>0</v>
      </c>
      <c r="BG12" s="8">
        <v>0</v>
      </c>
      <c r="BH12" s="8">
        <v>0</v>
      </c>
      <c r="BI12" s="8">
        <v>0</v>
      </c>
      <c r="BJ12" s="8">
        <f t="shared" si="12"/>
        <v>4000</v>
      </c>
      <c r="BK12" s="8">
        <f t="shared" si="13"/>
        <v>4000</v>
      </c>
      <c r="BL12" s="8">
        <v>4</v>
      </c>
      <c r="BM12" s="8">
        <v>0</v>
      </c>
      <c r="BN12" s="8">
        <v>0</v>
      </c>
      <c r="BO12" s="8">
        <f t="shared" si="14"/>
        <v>4000</v>
      </c>
      <c r="BP12" s="8">
        <f t="shared" si="15"/>
        <v>4000</v>
      </c>
      <c r="BQ12" s="8">
        <v>4</v>
      </c>
      <c r="BR12" s="8">
        <v>0</v>
      </c>
      <c r="BS12" s="8">
        <v>0</v>
      </c>
      <c r="BT12" s="8">
        <f t="shared" si="16"/>
        <v>4000</v>
      </c>
      <c r="BU12" s="8">
        <f t="shared" si="17"/>
        <v>4000</v>
      </c>
      <c r="BV12" s="8">
        <v>4</v>
      </c>
      <c r="BW12" s="8">
        <v>0</v>
      </c>
      <c r="BX12" s="8">
        <v>0</v>
      </c>
      <c r="BY12" s="8">
        <f t="shared" si="18"/>
        <v>4000</v>
      </c>
      <c r="BZ12" s="8">
        <f t="shared" si="19"/>
        <v>4000</v>
      </c>
      <c r="CA12" s="8">
        <v>4</v>
      </c>
      <c r="CB12" s="8">
        <v>0</v>
      </c>
      <c r="CC12" s="8">
        <v>0</v>
      </c>
      <c r="CD12" s="8">
        <f t="shared" si="20"/>
        <v>4000</v>
      </c>
      <c r="CE12" s="8">
        <f t="shared" si="21"/>
        <v>4000</v>
      </c>
      <c r="CF12" s="8">
        <v>4</v>
      </c>
      <c r="CG12" s="8">
        <v>0</v>
      </c>
      <c r="CH12" s="8">
        <v>0</v>
      </c>
      <c r="CI12" s="8">
        <f t="shared" si="22"/>
        <v>4000</v>
      </c>
      <c r="CJ12" s="8">
        <f t="shared" si="23"/>
        <v>4000</v>
      </c>
      <c r="CK12" s="8">
        <v>4</v>
      </c>
      <c r="CL12" s="8">
        <v>0</v>
      </c>
      <c r="CM12" s="8">
        <v>0</v>
      </c>
      <c r="CN12" s="8">
        <v>0</v>
      </c>
      <c r="CO12" s="9">
        <f t="shared" si="24"/>
        <v>48000</v>
      </c>
      <c r="CP12" s="9">
        <f t="shared" si="24"/>
        <v>48000</v>
      </c>
      <c r="CQ12" s="8">
        <v>4</v>
      </c>
      <c r="CR12" s="8">
        <v>0</v>
      </c>
      <c r="CS12" s="8">
        <v>0</v>
      </c>
      <c r="CT12" s="8">
        <v>0</v>
      </c>
      <c r="CU12" s="8">
        <f t="shared" si="25"/>
        <v>-48000</v>
      </c>
      <c r="CV12" s="8">
        <f t="shared" si="25"/>
        <v>-48000</v>
      </c>
      <c r="CW12" s="8">
        <v>0</v>
      </c>
      <c r="CX12" s="8">
        <v>0</v>
      </c>
      <c r="CY12" s="8">
        <v>0</v>
      </c>
      <c r="CZ12" s="8">
        <v>0</v>
      </c>
      <c r="DA12" s="8">
        <f t="shared" si="26"/>
        <v>48000</v>
      </c>
      <c r="DB12" s="8">
        <f t="shared" si="26"/>
        <v>48000</v>
      </c>
    </row>
    <row r="13" spans="1:106" s="10" customFormat="1">
      <c r="B13" s="11" t="s">
        <v>105</v>
      </c>
      <c r="C13" s="11" t="s">
        <v>106</v>
      </c>
      <c r="D13" s="11" t="s">
        <v>145</v>
      </c>
      <c r="E13" s="11" t="s">
        <v>146</v>
      </c>
      <c r="F13" s="11" t="s">
        <v>126</v>
      </c>
      <c r="G13" s="11">
        <v>38617002</v>
      </c>
      <c r="H13" s="11">
        <v>5842283202</v>
      </c>
      <c r="I13" s="11" t="s">
        <v>109</v>
      </c>
      <c r="J13" s="11" t="s">
        <v>147</v>
      </c>
      <c r="K13" s="11" t="s">
        <v>147</v>
      </c>
      <c r="L13" s="11" t="s">
        <v>111</v>
      </c>
      <c r="M13" s="11" t="s">
        <v>128</v>
      </c>
      <c r="N13" s="12" t="s">
        <v>113</v>
      </c>
      <c r="O13" s="12" t="s">
        <v>114</v>
      </c>
      <c r="P13" s="13"/>
      <c r="Q13" s="13"/>
      <c r="R13" s="14">
        <v>0</v>
      </c>
      <c r="S13" s="14">
        <v>0</v>
      </c>
      <c r="T13" s="8">
        <f t="shared" si="0"/>
        <v>6000</v>
      </c>
      <c r="U13" s="8">
        <f t="shared" si="1"/>
        <v>6000</v>
      </c>
      <c r="V13" s="14">
        <v>6</v>
      </c>
      <c r="W13" s="14">
        <v>0</v>
      </c>
      <c r="X13" s="14">
        <v>0</v>
      </c>
      <c r="Y13" s="14">
        <v>0</v>
      </c>
      <c r="Z13" s="14">
        <v>0</v>
      </c>
      <c r="AA13" s="8">
        <f t="shared" si="2"/>
        <v>6000</v>
      </c>
      <c r="AB13" s="8">
        <f t="shared" si="3"/>
        <v>6000</v>
      </c>
      <c r="AC13" s="14">
        <v>6</v>
      </c>
      <c r="AD13" s="14">
        <v>0</v>
      </c>
      <c r="AE13" s="14">
        <v>0</v>
      </c>
      <c r="AF13" s="14">
        <v>0</v>
      </c>
      <c r="AG13" s="8">
        <v>0</v>
      </c>
      <c r="AH13" s="8">
        <f t="shared" si="4"/>
        <v>5000</v>
      </c>
      <c r="AI13" s="8">
        <f t="shared" si="5"/>
        <v>5000</v>
      </c>
      <c r="AJ13" s="14">
        <v>5</v>
      </c>
      <c r="AK13" s="14">
        <v>0</v>
      </c>
      <c r="AL13" s="14">
        <v>0</v>
      </c>
      <c r="AM13" s="14">
        <v>0</v>
      </c>
      <c r="AN13" s="8">
        <v>0</v>
      </c>
      <c r="AO13" s="8">
        <f t="shared" si="6"/>
        <v>8000</v>
      </c>
      <c r="AP13" s="8">
        <f t="shared" si="7"/>
        <v>8000</v>
      </c>
      <c r="AQ13" s="14">
        <v>8</v>
      </c>
      <c r="AR13" s="14">
        <v>0</v>
      </c>
      <c r="AS13" s="14">
        <v>0</v>
      </c>
      <c r="AT13" s="14">
        <v>0</v>
      </c>
      <c r="AU13" s="8">
        <v>0</v>
      </c>
      <c r="AV13" s="8">
        <f t="shared" si="8"/>
        <v>8000</v>
      </c>
      <c r="AW13" s="8">
        <f t="shared" si="9"/>
        <v>8000</v>
      </c>
      <c r="AX13" s="14">
        <v>8</v>
      </c>
      <c r="AY13" s="14">
        <v>0</v>
      </c>
      <c r="AZ13" s="14">
        <v>0</v>
      </c>
      <c r="BA13" s="14">
        <v>0</v>
      </c>
      <c r="BB13" s="8">
        <v>0</v>
      </c>
      <c r="BC13" s="8">
        <f t="shared" si="10"/>
        <v>8000</v>
      </c>
      <c r="BD13" s="8">
        <f t="shared" si="11"/>
        <v>8000</v>
      </c>
      <c r="BE13" s="14">
        <v>8</v>
      </c>
      <c r="BF13" s="14">
        <v>0</v>
      </c>
      <c r="BG13" s="14">
        <v>0</v>
      </c>
      <c r="BH13" s="14">
        <v>0</v>
      </c>
      <c r="BI13" s="8">
        <v>0</v>
      </c>
      <c r="BJ13" s="8">
        <f t="shared" si="12"/>
        <v>8000</v>
      </c>
      <c r="BK13" s="8">
        <f t="shared" si="13"/>
        <v>8000</v>
      </c>
      <c r="BL13" s="14">
        <v>8</v>
      </c>
      <c r="BM13" s="14">
        <v>0</v>
      </c>
      <c r="BN13" s="14">
        <v>0</v>
      </c>
      <c r="BO13" s="8">
        <f t="shared" si="14"/>
        <v>8000</v>
      </c>
      <c r="BP13" s="8">
        <f t="shared" si="15"/>
        <v>8000</v>
      </c>
      <c r="BQ13" s="14">
        <v>8</v>
      </c>
      <c r="BR13" s="14">
        <v>0</v>
      </c>
      <c r="BS13" s="14">
        <v>0</v>
      </c>
      <c r="BT13" s="8">
        <f t="shared" si="16"/>
        <v>8000</v>
      </c>
      <c r="BU13" s="8">
        <f t="shared" si="17"/>
        <v>8000</v>
      </c>
      <c r="BV13" s="14">
        <v>8</v>
      </c>
      <c r="BW13" s="14">
        <v>0</v>
      </c>
      <c r="BX13" s="14">
        <v>0</v>
      </c>
      <c r="BY13" s="8">
        <f t="shared" si="18"/>
        <v>8000</v>
      </c>
      <c r="BZ13" s="8">
        <f t="shared" si="19"/>
        <v>8000</v>
      </c>
      <c r="CA13" s="14">
        <v>8</v>
      </c>
      <c r="CB13" s="14">
        <v>0</v>
      </c>
      <c r="CC13" s="14">
        <v>0</v>
      </c>
      <c r="CD13" s="8">
        <f t="shared" si="20"/>
        <v>8000</v>
      </c>
      <c r="CE13" s="8">
        <f t="shared" si="21"/>
        <v>8000</v>
      </c>
      <c r="CF13" s="14">
        <v>8</v>
      </c>
      <c r="CG13" s="14">
        <v>0</v>
      </c>
      <c r="CH13" s="14">
        <v>0</v>
      </c>
      <c r="CI13" s="8">
        <f t="shared" si="22"/>
        <v>8000</v>
      </c>
      <c r="CJ13" s="8">
        <f t="shared" si="23"/>
        <v>8000</v>
      </c>
      <c r="CK13" s="14">
        <v>8</v>
      </c>
      <c r="CL13" s="14">
        <v>0</v>
      </c>
      <c r="CM13" s="14">
        <v>0</v>
      </c>
      <c r="CN13" s="14">
        <v>0</v>
      </c>
      <c r="CO13" s="9">
        <f t="shared" si="24"/>
        <v>89000</v>
      </c>
      <c r="CP13" s="9">
        <f t="shared" si="24"/>
        <v>89000</v>
      </c>
      <c r="CQ13" s="14">
        <v>7.4</v>
      </c>
      <c r="CR13" s="14">
        <v>0</v>
      </c>
      <c r="CS13" s="14">
        <v>0</v>
      </c>
      <c r="CT13" s="14">
        <v>0</v>
      </c>
      <c r="CU13" s="8">
        <f t="shared" si="25"/>
        <v>-89000</v>
      </c>
      <c r="CV13" s="8">
        <f t="shared" si="25"/>
        <v>-89000</v>
      </c>
      <c r="CW13" s="14">
        <v>0</v>
      </c>
      <c r="CX13" s="14">
        <v>0</v>
      </c>
      <c r="CY13" s="14">
        <v>0</v>
      </c>
      <c r="CZ13" s="14">
        <v>0</v>
      </c>
      <c r="DA13" s="8">
        <f t="shared" si="26"/>
        <v>89000</v>
      </c>
      <c r="DB13" s="8">
        <f t="shared" si="26"/>
        <v>89000</v>
      </c>
    </row>
    <row r="14" spans="1:106" s="4" customFormat="1">
      <c r="B14" s="5" t="s">
        <v>105</v>
      </c>
      <c r="C14" s="5" t="s">
        <v>106</v>
      </c>
      <c r="D14" s="5" t="s">
        <v>148</v>
      </c>
      <c r="E14" s="5" t="s">
        <v>149</v>
      </c>
      <c r="F14" s="5"/>
      <c r="G14" s="5">
        <v>38617004</v>
      </c>
      <c r="H14" s="5">
        <v>5841813202</v>
      </c>
      <c r="I14" s="5" t="s">
        <v>109</v>
      </c>
      <c r="J14" s="5" t="s">
        <v>150</v>
      </c>
      <c r="K14" s="5" t="s">
        <v>150</v>
      </c>
      <c r="L14" s="5" t="s">
        <v>111</v>
      </c>
      <c r="M14" s="5" t="s">
        <v>128</v>
      </c>
      <c r="N14" s="6" t="s">
        <v>113</v>
      </c>
      <c r="O14" s="6" t="s">
        <v>114</v>
      </c>
      <c r="P14" s="7"/>
      <c r="Q14" s="7"/>
      <c r="R14" s="8">
        <v>0</v>
      </c>
      <c r="S14" s="8">
        <v>0</v>
      </c>
      <c r="T14" s="8">
        <f t="shared" si="0"/>
        <v>4000</v>
      </c>
      <c r="U14" s="8">
        <f t="shared" si="1"/>
        <v>4000</v>
      </c>
      <c r="V14" s="8">
        <v>4</v>
      </c>
      <c r="W14" s="8">
        <v>0</v>
      </c>
      <c r="X14" s="8">
        <v>0</v>
      </c>
      <c r="Y14" s="8">
        <v>0</v>
      </c>
      <c r="Z14" s="8">
        <v>0</v>
      </c>
      <c r="AA14" s="8">
        <f t="shared" si="2"/>
        <v>7000</v>
      </c>
      <c r="AB14" s="8">
        <f t="shared" si="3"/>
        <v>7000</v>
      </c>
      <c r="AC14" s="8">
        <v>7</v>
      </c>
      <c r="AD14" s="8">
        <v>0</v>
      </c>
      <c r="AE14" s="8">
        <v>0</v>
      </c>
      <c r="AF14" s="8">
        <v>0</v>
      </c>
      <c r="AG14" s="8">
        <v>0</v>
      </c>
      <c r="AH14" s="8">
        <f t="shared" si="4"/>
        <v>6000</v>
      </c>
      <c r="AI14" s="8">
        <f t="shared" si="5"/>
        <v>6000</v>
      </c>
      <c r="AJ14" s="8">
        <v>6</v>
      </c>
      <c r="AK14" s="8">
        <v>0</v>
      </c>
      <c r="AL14" s="8">
        <v>0</v>
      </c>
      <c r="AM14" s="8">
        <v>0</v>
      </c>
      <c r="AN14" s="8">
        <v>0</v>
      </c>
      <c r="AO14" s="8">
        <f t="shared" si="6"/>
        <v>6000</v>
      </c>
      <c r="AP14" s="8">
        <f t="shared" si="7"/>
        <v>6000</v>
      </c>
      <c r="AQ14" s="8">
        <v>6</v>
      </c>
      <c r="AR14" s="8">
        <v>0</v>
      </c>
      <c r="AS14" s="8">
        <v>0</v>
      </c>
      <c r="AT14" s="8">
        <v>0</v>
      </c>
      <c r="AU14" s="8">
        <v>0</v>
      </c>
      <c r="AV14" s="8">
        <f t="shared" si="8"/>
        <v>6000</v>
      </c>
      <c r="AW14" s="8">
        <f t="shared" si="9"/>
        <v>6000</v>
      </c>
      <c r="AX14" s="8">
        <v>6</v>
      </c>
      <c r="AY14" s="8">
        <v>0</v>
      </c>
      <c r="AZ14" s="8">
        <v>0</v>
      </c>
      <c r="BA14" s="8">
        <v>0</v>
      </c>
      <c r="BB14" s="8">
        <v>0</v>
      </c>
      <c r="BC14" s="8">
        <f t="shared" si="10"/>
        <v>8000</v>
      </c>
      <c r="BD14" s="8">
        <f t="shared" si="11"/>
        <v>8000</v>
      </c>
      <c r="BE14" s="8">
        <v>8</v>
      </c>
      <c r="BF14" s="8">
        <v>0</v>
      </c>
      <c r="BG14" s="8">
        <v>0</v>
      </c>
      <c r="BH14" s="8">
        <v>0</v>
      </c>
      <c r="BI14" s="8">
        <v>0</v>
      </c>
      <c r="BJ14" s="8">
        <f t="shared" si="12"/>
        <v>8000</v>
      </c>
      <c r="BK14" s="8">
        <f t="shared" si="13"/>
        <v>8000</v>
      </c>
      <c r="BL14" s="8">
        <v>8</v>
      </c>
      <c r="BM14" s="8">
        <v>0</v>
      </c>
      <c r="BN14" s="8">
        <v>0</v>
      </c>
      <c r="BO14" s="8">
        <f t="shared" si="14"/>
        <v>7000</v>
      </c>
      <c r="BP14" s="8">
        <f t="shared" si="15"/>
        <v>7000</v>
      </c>
      <c r="BQ14" s="8">
        <v>7</v>
      </c>
      <c r="BR14" s="8">
        <v>0</v>
      </c>
      <c r="BS14" s="8">
        <v>0</v>
      </c>
      <c r="BT14" s="8">
        <f t="shared" si="16"/>
        <v>5000</v>
      </c>
      <c r="BU14" s="8">
        <f t="shared" si="17"/>
        <v>5000</v>
      </c>
      <c r="BV14" s="8">
        <v>5</v>
      </c>
      <c r="BW14" s="8">
        <v>0</v>
      </c>
      <c r="BX14" s="8">
        <v>0</v>
      </c>
      <c r="BY14" s="8">
        <f t="shared" si="18"/>
        <v>5000</v>
      </c>
      <c r="BZ14" s="8">
        <f t="shared" si="19"/>
        <v>5000</v>
      </c>
      <c r="CA14" s="8">
        <v>5</v>
      </c>
      <c r="CB14" s="8">
        <v>0</v>
      </c>
      <c r="CC14" s="8">
        <v>0</v>
      </c>
      <c r="CD14" s="8">
        <f t="shared" si="20"/>
        <v>5000</v>
      </c>
      <c r="CE14" s="8">
        <f t="shared" si="21"/>
        <v>5000</v>
      </c>
      <c r="CF14" s="8">
        <v>5</v>
      </c>
      <c r="CG14" s="8">
        <v>0</v>
      </c>
      <c r="CH14" s="8">
        <v>0</v>
      </c>
      <c r="CI14" s="8">
        <f t="shared" si="22"/>
        <v>5000</v>
      </c>
      <c r="CJ14" s="8">
        <f t="shared" si="23"/>
        <v>5000</v>
      </c>
      <c r="CK14" s="8">
        <v>5</v>
      </c>
      <c r="CL14" s="8">
        <v>0</v>
      </c>
      <c r="CM14" s="8">
        <v>0</v>
      </c>
      <c r="CN14" s="8">
        <v>0</v>
      </c>
      <c r="CO14" s="9">
        <f t="shared" si="24"/>
        <v>72000</v>
      </c>
      <c r="CP14" s="9">
        <f t="shared" si="24"/>
        <v>72000</v>
      </c>
      <c r="CQ14" s="8">
        <v>6</v>
      </c>
      <c r="CR14" s="8">
        <v>0</v>
      </c>
      <c r="CS14" s="8">
        <v>0</v>
      </c>
      <c r="CT14" s="8">
        <v>0</v>
      </c>
      <c r="CU14" s="8">
        <f t="shared" si="25"/>
        <v>-72000</v>
      </c>
      <c r="CV14" s="8">
        <f t="shared" si="25"/>
        <v>-72000</v>
      </c>
      <c r="CW14" s="8">
        <v>0</v>
      </c>
      <c r="CX14" s="8">
        <v>0</v>
      </c>
      <c r="CY14" s="8">
        <v>0</v>
      </c>
      <c r="CZ14" s="8">
        <v>0</v>
      </c>
      <c r="DA14" s="8">
        <f t="shared" si="26"/>
        <v>72000</v>
      </c>
      <c r="DB14" s="8">
        <f t="shared" si="26"/>
        <v>72000</v>
      </c>
    </row>
    <row r="15" spans="1:106" s="10" customFormat="1">
      <c r="B15" s="11" t="s">
        <v>105</v>
      </c>
      <c r="C15" s="11" t="s">
        <v>106</v>
      </c>
      <c r="D15" s="11" t="s">
        <v>145</v>
      </c>
      <c r="E15" s="11" t="s">
        <v>151</v>
      </c>
      <c r="F15" s="11"/>
      <c r="G15" s="11">
        <v>38617005</v>
      </c>
      <c r="H15" s="11">
        <v>5841843202</v>
      </c>
      <c r="I15" s="11" t="s">
        <v>109</v>
      </c>
      <c r="J15" s="11" t="s">
        <v>152</v>
      </c>
      <c r="K15" s="11" t="s">
        <v>152</v>
      </c>
      <c r="L15" s="11" t="s">
        <v>111</v>
      </c>
      <c r="M15" s="11" t="s">
        <v>128</v>
      </c>
      <c r="N15" s="12" t="s">
        <v>113</v>
      </c>
      <c r="O15" s="12" t="s">
        <v>114</v>
      </c>
      <c r="P15" s="13"/>
      <c r="Q15" s="13"/>
      <c r="R15" s="14">
        <v>0</v>
      </c>
      <c r="S15" s="14">
        <v>0</v>
      </c>
      <c r="T15" s="8">
        <f t="shared" si="0"/>
        <v>3000</v>
      </c>
      <c r="U15" s="8">
        <f t="shared" si="1"/>
        <v>3000</v>
      </c>
      <c r="V15" s="14">
        <v>3</v>
      </c>
      <c r="W15" s="14">
        <v>0</v>
      </c>
      <c r="X15" s="14">
        <v>0</v>
      </c>
      <c r="Y15" s="14">
        <v>0</v>
      </c>
      <c r="Z15" s="14">
        <v>0</v>
      </c>
      <c r="AA15" s="8">
        <f t="shared" si="2"/>
        <v>3000</v>
      </c>
      <c r="AB15" s="8">
        <f t="shared" si="3"/>
        <v>3000</v>
      </c>
      <c r="AC15" s="14">
        <v>3</v>
      </c>
      <c r="AD15" s="14">
        <v>0</v>
      </c>
      <c r="AE15" s="14">
        <v>0</v>
      </c>
      <c r="AF15" s="14">
        <v>0</v>
      </c>
      <c r="AG15" s="8">
        <v>0</v>
      </c>
      <c r="AH15" s="8">
        <f t="shared" si="4"/>
        <v>3000</v>
      </c>
      <c r="AI15" s="8">
        <f t="shared" si="5"/>
        <v>3000</v>
      </c>
      <c r="AJ15" s="14">
        <v>3</v>
      </c>
      <c r="AK15" s="14">
        <v>0</v>
      </c>
      <c r="AL15" s="14">
        <v>0</v>
      </c>
      <c r="AM15" s="14">
        <v>0</v>
      </c>
      <c r="AN15" s="8">
        <v>0</v>
      </c>
      <c r="AO15" s="8">
        <f t="shared" si="6"/>
        <v>3000</v>
      </c>
      <c r="AP15" s="8">
        <f t="shared" si="7"/>
        <v>3000</v>
      </c>
      <c r="AQ15" s="14">
        <v>3</v>
      </c>
      <c r="AR15" s="14">
        <v>0</v>
      </c>
      <c r="AS15" s="14">
        <v>0</v>
      </c>
      <c r="AT15" s="14">
        <v>0</v>
      </c>
      <c r="AU15" s="8">
        <v>0</v>
      </c>
      <c r="AV15" s="8">
        <f t="shared" si="8"/>
        <v>3000</v>
      </c>
      <c r="AW15" s="8">
        <f t="shared" si="9"/>
        <v>3000</v>
      </c>
      <c r="AX15" s="14">
        <v>3</v>
      </c>
      <c r="AY15" s="14">
        <v>0</v>
      </c>
      <c r="AZ15" s="14">
        <v>0</v>
      </c>
      <c r="BA15" s="14">
        <v>0</v>
      </c>
      <c r="BB15" s="8">
        <v>0</v>
      </c>
      <c r="BC15" s="8">
        <f t="shared" si="10"/>
        <v>3000</v>
      </c>
      <c r="BD15" s="8">
        <f t="shared" si="11"/>
        <v>3000</v>
      </c>
      <c r="BE15" s="14">
        <v>3</v>
      </c>
      <c r="BF15" s="14">
        <v>0</v>
      </c>
      <c r="BG15" s="14">
        <v>0</v>
      </c>
      <c r="BH15" s="14">
        <v>0</v>
      </c>
      <c r="BI15" s="8">
        <v>0</v>
      </c>
      <c r="BJ15" s="8">
        <f t="shared" si="12"/>
        <v>3000</v>
      </c>
      <c r="BK15" s="8">
        <f t="shared" si="13"/>
        <v>3000</v>
      </c>
      <c r="BL15" s="14">
        <v>3</v>
      </c>
      <c r="BM15" s="14">
        <v>0</v>
      </c>
      <c r="BN15" s="14">
        <v>0</v>
      </c>
      <c r="BO15" s="8">
        <f t="shared" si="14"/>
        <v>3000</v>
      </c>
      <c r="BP15" s="8">
        <f t="shared" si="15"/>
        <v>3000</v>
      </c>
      <c r="BQ15" s="14">
        <v>3</v>
      </c>
      <c r="BR15" s="14">
        <v>0</v>
      </c>
      <c r="BS15" s="14">
        <v>0</v>
      </c>
      <c r="BT15" s="8">
        <f t="shared" si="16"/>
        <v>4000</v>
      </c>
      <c r="BU15" s="8">
        <f t="shared" si="17"/>
        <v>4000</v>
      </c>
      <c r="BV15" s="14">
        <v>4</v>
      </c>
      <c r="BW15" s="14">
        <v>0</v>
      </c>
      <c r="BX15" s="14">
        <v>0</v>
      </c>
      <c r="BY15" s="8">
        <f t="shared" si="18"/>
        <v>4000</v>
      </c>
      <c r="BZ15" s="8">
        <f t="shared" si="19"/>
        <v>4000</v>
      </c>
      <c r="CA15" s="14">
        <v>4</v>
      </c>
      <c r="CB15" s="14">
        <v>0</v>
      </c>
      <c r="CC15" s="14">
        <v>0</v>
      </c>
      <c r="CD15" s="8">
        <f t="shared" si="20"/>
        <v>4000</v>
      </c>
      <c r="CE15" s="8">
        <f t="shared" si="21"/>
        <v>4000</v>
      </c>
      <c r="CF15" s="14">
        <v>4</v>
      </c>
      <c r="CG15" s="14">
        <v>0</v>
      </c>
      <c r="CH15" s="14">
        <v>0</v>
      </c>
      <c r="CI15" s="8">
        <f t="shared" si="22"/>
        <v>4000</v>
      </c>
      <c r="CJ15" s="8">
        <f t="shared" si="23"/>
        <v>4000</v>
      </c>
      <c r="CK15" s="14">
        <v>4</v>
      </c>
      <c r="CL15" s="14">
        <v>0</v>
      </c>
      <c r="CM15" s="14">
        <v>0</v>
      </c>
      <c r="CN15" s="14">
        <v>0</v>
      </c>
      <c r="CO15" s="9">
        <f t="shared" si="24"/>
        <v>40000</v>
      </c>
      <c r="CP15" s="9">
        <f t="shared" si="24"/>
        <v>40000</v>
      </c>
      <c r="CQ15" s="14">
        <v>3.3</v>
      </c>
      <c r="CR15" s="14">
        <v>0</v>
      </c>
      <c r="CS15" s="14">
        <v>0</v>
      </c>
      <c r="CT15" s="14">
        <v>0</v>
      </c>
      <c r="CU15" s="8">
        <f t="shared" si="25"/>
        <v>-40000</v>
      </c>
      <c r="CV15" s="8">
        <f t="shared" si="25"/>
        <v>-40000</v>
      </c>
      <c r="CW15" s="14">
        <v>0</v>
      </c>
      <c r="CX15" s="14">
        <v>0</v>
      </c>
      <c r="CY15" s="14">
        <v>0</v>
      </c>
      <c r="CZ15" s="14">
        <v>0</v>
      </c>
      <c r="DA15" s="8">
        <f t="shared" si="26"/>
        <v>40000</v>
      </c>
      <c r="DB15" s="8">
        <f t="shared" si="26"/>
        <v>40000</v>
      </c>
    </row>
    <row r="16" spans="1:106" s="4" customFormat="1">
      <c r="B16" s="5" t="s">
        <v>105</v>
      </c>
      <c r="C16" s="5" t="s">
        <v>106</v>
      </c>
      <c r="D16" s="5" t="s">
        <v>115</v>
      </c>
      <c r="E16" s="5" t="s">
        <v>153</v>
      </c>
      <c r="F16" s="5" t="s">
        <v>126</v>
      </c>
      <c r="G16" s="5">
        <v>38617007</v>
      </c>
      <c r="H16" s="5">
        <v>5842073202</v>
      </c>
      <c r="I16" s="5" t="s">
        <v>109</v>
      </c>
      <c r="J16" s="5" t="s">
        <v>154</v>
      </c>
      <c r="K16" s="5" t="s">
        <v>154</v>
      </c>
      <c r="L16" s="5" t="s">
        <v>111</v>
      </c>
      <c r="M16" s="5" t="s">
        <v>128</v>
      </c>
      <c r="N16" s="6" t="s">
        <v>113</v>
      </c>
      <c r="O16" s="6" t="s">
        <v>114</v>
      </c>
      <c r="P16" s="7"/>
      <c r="Q16" s="7"/>
      <c r="R16" s="8">
        <v>0</v>
      </c>
      <c r="S16" s="8">
        <v>0</v>
      </c>
      <c r="T16" s="8">
        <f t="shared" si="0"/>
        <v>6000</v>
      </c>
      <c r="U16" s="8">
        <f t="shared" si="1"/>
        <v>6000</v>
      </c>
      <c r="V16" s="8">
        <v>6</v>
      </c>
      <c r="W16" s="8">
        <v>0</v>
      </c>
      <c r="X16" s="8">
        <v>0</v>
      </c>
      <c r="Y16" s="8">
        <v>0</v>
      </c>
      <c r="Z16" s="8">
        <v>0</v>
      </c>
      <c r="AA16" s="8">
        <f t="shared" si="2"/>
        <v>6000</v>
      </c>
      <c r="AB16" s="8">
        <f t="shared" si="3"/>
        <v>6000</v>
      </c>
      <c r="AC16" s="8">
        <v>6</v>
      </c>
      <c r="AD16" s="8">
        <v>0</v>
      </c>
      <c r="AE16" s="8">
        <v>0</v>
      </c>
      <c r="AF16" s="8">
        <v>0</v>
      </c>
      <c r="AG16" s="8">
        <v>0</v>
      </c>
      <c r="AH16" s="8">
        <f t="shared" si="4"/>
        <v>6000</v>
      </c>
      <c r="AI16" s="8">
        <f t="shared" si="5"/>
        <v>6000</v>
      </c>
      <c r="AJ16" s="8">
        <v>6</v>
      </c>
      <c r="AK16" s="8">
        <v>0</v>
      </c>
      <c r="AL16" s="8">
        <v>0</v>
      </c>
      <c r="AM16" s="8">
        <v>0</v>
      </c>
      <c r="AN16" s="8">
        <v>0</v>
      </c>
      <c r="AO16" s="8">
        <f t="shared" si="6"/>
        <v>6000</v>
      </c>
      <c r="AP16" s="8">
        <f t="shared" si="7"/>
        <v>6000</v>
      </c>
      <c r="AQ16" s="8">
        <v>6</v>
      </c>
      <c r="AR16" s="8">
        <v>0</v>
      </c>
      <c r="AS16" s="8">
        <v>0</v>
      </c>
      <c r="AT16" s="8">
        <v>0</v>
      </c>
      <c r="AU16" s="8">
        <v>0</v>
      </c>
      <c r="AV16" s="8">
        <f t="shared" si="8"/>
        <v>6000</v>
      </c>
      <c r="AW16" s="8">
        <f t="shared" si="9"/>
        <v>6000</v>
      </c>
      <c r="AX16" s="8">
        <v>6</v>
      </c>
      <c r="AY16" s="8">
        <v>0</v>
      </c>
      <c r="AZ16" s="8">
        <v>0</v>
      </c>
      <c r="BA16" s="8">
        <v>0</v>
      </c>
      <c r="BB16" s="8">
        <v>0</v>
      </c>
      <c r="BC16" s="8">
        <f t="shared" si="10"/>
        <v>6000</v>
      </c>
      <c r="BD16" s="8">
        <f t="shared" si="11"/>
        <v>6000</v>
      </c>
      <c r="BE16" s="8">
        <v>6</v>
      </c>
      <c r="BF16" s="8">
        <v>0</v>
      </c>
      <c r="BG16" s="8">
        <v>0</v>
      </c>
      <c r="BH16" s="8">
        <v>0</v>
      </c>
      <c r="BI16" s="8">
        <v>0</v>
      </c>
      <c r="BJ16" s="8">
        <f t="shared" si="12"/>
        <v>6000</v>
      </c>
      <c r="BK16" s="8">
        <f t="shared" si="13"/>
        <v>6000</v>
      </c>
      <c r="BL16" s="8">
        <v>6</v>
      </c>
      <c r="BM16" s="8">
        <v>0</v>
      </c>
      <c r="BN16" s="8">
        <v>0</v>
      </c>
      <c r="BO16" s="8">
        <f t="shared" si="14"/>
        <v>6000</v>
      </c>
      <c r="BP16" s="8">
        <f t="shared" si="15"/>
        <v>6000</v>
      </c>
      <c r="BQ16" s="8">
        <v>6</v>
      </c>
      <c r="BR16" s="8">
        <v>0</v>
      </c>
      <c r="BS16" s="8">
        <v>0</v>
      </c>
      <c r="BT16" s="8">
        <f t="shared" si="16"/>
        <v>6000</v>
      </c>
      <c r="BU16" s="8">
        <f t="shared" si="17"/>
        <v>6000</v>
      </c>
      <c r="BV16" s="8">
        <v>6</v>
      </c>
      <c r="BW16" s="8">
        <v>0</v>
      </c>
      <c r="BX16" s="8">
        <v>0</v>
      </c>
      <c r="BY16" s="8">
        <f t="shared" si="18"/>
        <v>6000</v>
      </c>
      <c r="BZ16" s="8">
        <f t="shared" si="19"/>
        <v>6000</v>
      </c>
      <c r="CA16" s="8">
        <v>6</v>
      </c>
      <c r="CB16" s="8">
        <v>0</v>
      </c>
      <c r="CC16" s="8">
        <v>0</v>
      </c>
      <c r="CD16" s="8">
        <f t="shared" si="20"/>
        <v>6000</v>
      </c>
      <c r="CE16" s="8">
        <f t="shared" si="21"/>
        <v>6000</v>
      </c>
      <c r="CF16" s="8">
        <v>6</v>
      </c>
      <c r="CG16" s="8">
        <v>0</v>
      </c>
      <c r="CH16" s="8">
        <v>0</v>
      </c>
      <c r="CI16" s="8">
        <f t="shared" si="22"/>
        <v>6000</v>
      </c>
      <c r="CJ16" s="8">
        <f t="shared" si="23"/>
        <v>6000</v>
      </c>
      <c r="CK16" s="8">
        <v>6</v>
      </c>
      <c r="CL16" s="8">
        <v>0</v>
      </c>
      <c r="CM16" s="8">
        <v>0</v>
      </c>
      <c r="CN16" s="8">
        <v>0</v>
      </c>
      <c r="CO16" s="9">
        <f t="shared" si="24"/>
        <v>72000</v>
      </c>
      <c r="CP16" s="9">
        <f t="shared" si="24"/>
        <v>72000</v>
      </c>
      <c r="CQ16" s="8">
        <v>6</v>
      </c>
      <c r="CR16" s="8">
        <v>0</v>
      </c>
      <c r="CS16" s="8">
        <v>0</v>
      </c>
      <c r="CT16" s="8">
        <v>0</v>
      </c>
      <c r="CU16" s="8">
        <f t="shared" si="25"/>
        <v>-72000</v>
      </c>
      <c r="CV16" s="8">
        <f t="shared" si="25"/>
        <v>-72000</v>
      </c>
      <c r="CW16" s="8">
        <v>0</v>
      </c>
      <c r="CX16" s="8">
        <v>0</v>
      </c>
      <c r="CY16" s="8">
        <v>0</v>
      </c>
      <c r="CZ16" s="8">
        <v>0</v>
      </c>
      <c r="DA16" s="8">
        <f t="shared" si="26"/>
        <v>72000</v>
      </c>
      <c r="DB16" s="8">
        <f t="shared" si="26"/>
        <v>72000</v>
      </c>
    </row>
    <row r="17" spans="2:106" s="10" customFormat="1">
      <c r="B17" s="11" t="s">
        <v>105</v>
      </c>
      <c r="C17" s="11" t="s">
        <v>106</v>
      </c>
      <c r="D17" s="11" t="s">
        <v>124</v>
      </c>
      <c r="E17" s="11" t="s">
        <v>155</v>
      </c>
      <c r="F17" s="11"/>
      <c r="G17" s="11">
        <v>38617008</v>
      </c>
      <c r="H17" s="11">
        <v>5841813202</v>
      </c>
      <c r="I17" s="11" t="s">
        <v>109</v>
      </c>
      <c r="J17" s="11" t="s">
        <v>156</v>
      </c>
      <c r="K17" s="11" t="s">
        <v>156</v>
      </c>
      <c r="L17" s="11" t="s">
        <v>111</v>
      </c>
      <c r="M17" s="11" t="s">
        <v>128</v>
      </c>
      <c r="N17" s="12" t="s">
        <v>113</v>
      </c>
      <c r="O17" s="12" t="s">
        <v>114</v>
      </c>
      <c r="P17" s="13"/>
      <c r="Q17" s="13"/>
      <c r="R17" s="14">
        <v>0</v>
      </c>
      <c r="S17" s="14">
        <v>0</v>
      </c>
      <c r="T17" s="8">
        <f t="shared" si="0"/>
        <v>4000</v>
      </c>
      <c r="U17" s="8">
        <f t="shared" si="1"/>
        <v>4000</v>
      </c>
      <c r="V17" s="14">
        <v>4</v>
      </c>
      <c r="W17" s="14">
        <v>0</v>
      </c>
      <c r="X17" s="14">
        <v>0</v>
      </c>
      <c r="Y17" s="14">
        <v>0</v>
      </c>
      <c r="Z17" s="14">
        <v>0</v>
      </c>
      <c r="AA17" s="8">
        <f t="shared" si="2"/>
        <v>4000</v>
      </c>
      <c r="AB17" s="8">
        <f t="shared" si="3"/>
        <v>4000</v>
      </c>
      <c r="AC17" s="14">
        <v>4</v>
      </c>
      <c r="AD17" s="14">
        <v>0</v>
      </c>
      <c r="AE17" s="14">
        <v>0</v>
      </c>
      <c r="AF17" s="14">
        <v>0</v>
      </c>
      <c r="AG17" s="8">
        <v>0</v>
      </c>
      <c r="AH17" s="8">
        <f t="shared" si="4"/>
        <v>4000</v>
      </c>
      <c r="AI17" s="8">
        <f t="shared" si="5"/>
        <v>4000</v>
      </c>
      <c r="AJ17" s="14">
        <v>4</v>
      </c>
      <c r="AK17" s="14">
        <v>0</v>
      </c>
      <c r="AL17" s="14">
        <v>0</v>
      </c>
      <c r="AM17" s="14">
        <v>0</v>
      </c>
      <c r="AN17" s="8">
        <v>0</v>
      </c>
      <c r="AO17" s="8">
        <f t="shared" si="6"/>
        <v>4000</v>
      </c>
      <c r="AP17" s="8">
        <f t="shared" si="7"/>
        <v>4000</v>
      </c>
      <c r="AQ17" s="14">
        <v>4</v>
      </c>
      <c r="AR17" s="14">
        <v>0</v>
      </c>
      <c r="AS17" s="14">
        <v>0</v>
      </c>
      <c r="AT17" s="14">
        <v>0</v>
      </c>
      <c r="AU17" s="8">
        <v>0</v>
      </c>
      <c r="AV17" s="8">
        <f t="shared" si="8"/>
        <v>4000</v>
      </c>
      <c r="AW17" s="8">
        <f t="shared" si="9"/>
        <v>4000</v>
      </c>
      <c r="AX17" s="14">
        <v>4</v>
      </c>
      <c r="AY17" s="14">
        <v>0</v>
      </c>
      <c r="AZ17" s="14">
        <v>0</v>
      </c>
      <c r="BA17" s="14">
        <v>0</v>
      </c>
      <c r="BB17" s="8">
        <v>0</v>
      </c>
      <c r="BC17" s="8">
        <f t="shared" si="10"/>
        <v>4000</v>
      </c>
      <c r="BD17" s="8">
        <f t="shared" si="11"/>
        <v>4000</v>
      </c>
      <c r="BE17" s="14">
        <v>4</v>
      </c>
      <c r="BF17" s="14">
        <v>0</v>
      </c>
      <c r="BG17" s="14">
        <v>0</v>
      </c>
      <c r="BH17" s="14">
        <v>0</v>
      </c>
      <c r="BI17" s="8">
        <v>0</v>
      </c>
      <c r="BJ17" s="8">
        <f t="shared" si="12"/>
        <v>4000</v>
      </c>
      <c r="BK17" s="8">
        <f t="shared" si="13"/>
        <v>4000</v>
      </c>
      <c r="BL17" s="14">
        <v>4</v>
      </c>
      <c r="BM17" s="14">
        <v>0</v>
      </c>
      <c r="BN17" s="14">
        <v>0</v>
      </c>
      <c r="BO17" s="8">
        <f t="shared" si="14"/>
        <v>4000</v>
      </c>
      <c r="BP17" s="8">
        <f t="shared" si="15"/>
        <v>4000</v>
      </c>
      <c r="BQ17" s="14">
        <v>4</v>
      </c>
      <c r="BR17" s="14">
        <v>0</v>
      </c>
      <c r="BS17" s="14">
        <v>0</v>
      </c>
      <c r="BT17" s="8">
        <f t="shared" si="16"/>
        <v>4000</v>
      </c>
      <c r="BU17" s="8">
        <f t="shared" si="17"/>
        <v>4000</v>
      </c>
      <c r="BV17" s="14">
        <v>4</v>
      </c>
      <c r="BW17" s="14">
        <v>0</v>
      </c>
      <c r="BX17" s="14">
        <v>0</v>
      </c>
      <c r="BY17" s="8">
        <f t="shared" si="18"/>
        <v>4000</v>
      </c>
      <c r="BZ17" s="8">
        <f t="shared" si="19"/>
        <v>4000</v>
      </c>
      <c r="CA17" s="14">
        <v>4</v>
      </c>
      <c r="CB17" s="14">
        <v>0</v>
      </c>
      <c r="CC17" s="14">
        <v>0</v>
      </c>
      <c r="CD17" s="8">
        <f t="shared" si="20"/>
        <v>4000</v>
      </c>
      <c r="CE17" s="8">
        <f t="shared" si="21"/>
        <v>4000</v>
      </c>
      <c r="CF17" s="14">
        <v>4</v>
      </c>
      <c r="CG17" s="14">
        <v>0</v>
      </c>
      <c r="CH17" s="14">
        <v>0</v>
      </c>
      <c r="CI17" s="8">
        <f t="shared" si="22"/>
        <v>4000</v>
      </c>
      <c r="CJ17" s="8">
        <f t="shared" si="23"/>
        <v>4000</v>
      </c>
      <c r="CK17" s="14">
        <v>4</v>
      </c>
      <c r="CL17" s="14">
        <v>0</v>
      </c>
      <c r="CM17" s="14">
        <v>0</v>
      </c>
      <c r="CN17" s="14">
        <v>0</v>
      </c>
      <c r="CO17" s="9">
        <f t="shared" si="24"/>
        <v>48000</v>
      </c>
      <c r="CP17" s="9">
        <f t="shared" si="24"/>
        <v>48000</v>
      </c>
      <c r="CQ17" s="14">
        <v>4</v>
      </c>
      <c r="CR17" s="14">
        <v>0</v>
      </c>
      <c r="CS17" s="14">
        <v>0</v>
      </c>
      <c r="CT17" s="14">
        <v>0</v>
      </c>
      <c r="CU17" s="8">
        <f t="shared" si="25"/>
        <v>-48000</v>
      </c>
      <c r="CV17" s="8">
        <f t="shared" si="25"/>
        <v>-48000</v>
      </c>
      <c r="CW17" s="14">
        <v>0</v>
      </c>
      <c r="CX17" s="14">
        <v>0</v>
      </c>
      <c r="CY17" s="14">
        <v>0</v>
      </c>
      <c r="CZ17" s="14">
        <v>0</v>
      </c>
      <c r="DA17" s="8">
        <f t="shared" si="26"/>
        <v>48000</v>
      </c>
      <c r="DB17" s="8">
        <f t="shared" si="26"/>
        <v>48000</v>
      </c>
    </row>
    <row r="18" spans="2:106" s="4" customFormat="1">
      <c r="B18" s="5" t="s">
        <v>105</v>
      </c>
      <c r="C18" s="5" t="s">
        <v>106</v>
      </c>
      <c r="D18" s="5" t="s">
        <v>124</v>
      </c>
      <c r="E18" s="5" t="s">
        <v>157</v>
      </c>
      <c r="F18" s="5"/>
      <c r="G18" s="5" t="s">
        <v>158</v>
      </c>
      <c r="H18" s="5" t="s">
        <v>158</v>
      </c>
      <c r="I18" s="5" t="s">
        <v>109</v>
      </c>
      <c r="J18" s="5" t="s">
        <v>158</v>
      </c>
      <c r="K18" s="5" t="s">
        <v>158</v>
      </c>
      <c r="L18" s="5" t="s">
        <v>159</v>
      </c>
      <c r="M18" s="5" t="s">
        <v>159</v>
      </c>
      <c r="N18" s="6" t="s">
        <v>159</v>
      </c>
      <c r="O18" s="6"/>
      <c r="P18" s="7"/>
      <c r="Q18" s="7"/>
      <c r="R18" s="8">
        <v>0</v>
      </c>
      <c r="S18" s="8">
        <v>0</v>
      </c>
      <c r="T18" s="8">
        <f t="shared" si="0"/>
        <v>0</v>
      </c>
      <c r="U18" s="8">
        <f t="shared" si="1"/>
        <v>0</v>
      </c>
      <c r="V18" s="8">
        <v>0</v>
      </c>
      <c r="W18" s="8">
        <v>0</v>
      </c>
      <c r="X18" s="8">
        <v>0</v>
      </c>
      <c r="Y18" s="8">
        <v>0</v>
      </c>
      <c r="Z18" s="8">
        <v>0</v>
      </c>
      <c r="AA18" s="8">
        <f t="shared" si="2"/>
        <v>0</v>
      </c>
      <c r="AB18" s="8">
        <f t="shared" si="3"/>
        <v>0</v>
      </c>
      <c r="AC18" s="8">
        <v>0</v>
      </c>
      <c r="AD18" s="8">
        <v>0</v>
      </c>
      <c r="AE18" s="8">
        <v>0</v>
      </c>
      <c r="AF18" s="8">
        <v>0</v>
      </c>
      <c r="AG18" s="8">
        <v>0</v>
      </c>
      <c r="AH18" s="8">
        <f t="shared" si="4"/>
        <v>0</v>
      </c>
      <c r="AI18" s="8">
        <f t="shared" si="5"/>
        <v>0</v>
      </c>
      <c r="AJ18" s="8">
        <v>0</v>
      </c>
      <c r="AK18" s="8">
        <v>0</v>
      </c>
      <c r="AL18" s="8">
        <v>0</v>
      </c>
      <c r="AM18" s="8">
        <v>0</v>
      </c>
      <c r="AN18" s="8">
        <v>0</v>
      </c>
      <c r="AO18" s="8">
        <f t="shared" si="6"/>
        <v>0</v>
      </c>
      <c r="AP18" s="8">
        <f t="shared" si="7"/>
        <v>0</v>
      </c>
      <c r="AQ18" s="8">
        <v>0</v>
      </c>
      <c r="AR18" s="8">
        <v>0</v>
      </c>
      <c r="AS18" s="8">
        <v>0</v>
      </c>
      <c r="AT18" s="8">
        <v>0</v>
      </c>
      <c r="AU18" s="8">
        <v>0</v>
      </c>
      <c r="AV18" s="8">
        <f t="shared" si="8"/>
        <v>0</v>
      </c>
      <c r="AW18" s="8">
        <f t="shared" si="9"/>
        <v>0</v>
      </c>
      <c r="AX18" s="8">
        <v>0</v>
      </c>
      <c r="AY18" s="8">
        <v>0</v>
      </c>
      <c r="AZ18" s="8">
        <v>0</v>
      </c>
      <c r="BA18" s="8">
        <v>0</v>
      </c>
      <c r="BB18" s="8">
        <v>0</v>
      </c>
      <c r="BC18" s="8">
        <f t="shared" si="10"/>
        <v>0</v>
      </c>
      <c r="BD18" s="8">
        <f t="shared" si="11"/>
        <v>0</v>
      </c>
      <c r="BE18" s="8">
        <v>0</v>
      </c>
      <c r="BF18" s="8">
        <v>0</v>
      </c>
      <c r="BG18" s="8">
        <v>0</v>
      </c>
      <c r="BH18" s="8">
        <v>0</v>
      </c>
      <c r="BI18" s="8">
        <v>0</v>
      </c>
      <c r="BJ18" s="8">
        <f t="shared" si="12"/>
        <v>0</v>
      </c>
      <c r="BK18" s="8">
        <f t="shared" si="13"/>
        <v>0</v>
      </c>
      <c r="BL18" s="8">
        <v>0</v>
      </c>
      <c r="BM18" s="8">
        <v>0</v>
      </c>
      <c r="BN18" s="8">
        <v>0</v>
      </c>
      <c r="BO18" s="8">
        <f t="shared" si="14"/>
        <v>2000</v>
      </c>
      <c r="BP18" s="8">
        <f t="shared" si="15"/>
        <v>2000</v>
      </c>
      <c r="BQ18" s="8">
        <v>2</v>
      </c>
      <c r="BR18" s="8">
        <v>0</v>
      </c>
      <c r="BS18" s="8">
        <v>0</v>
      </c>
      <c r="BT18" s="8">
        <f t="shared" si="16"/>
        <v>2000</v>
      </c>
      <c r="BU18" s="8">
        <f t="shared" si="17"/>
        <v>2000</v>
      </c>
      <c r="BV18" s="8">
        <v>2</v>
      </c>
      <c r="BW18" s="8">
        <v>0</v>
      </c>
      <c r="BX18" s="8">
        <v>0</v>
      </c>
      <c r="BY18" s="8">
        <f t="shared" si="18"/>
        <v>2000</v>
      </c>
      <c r="BZ18" s="8">
        <f t="shared" si="19"/>
        <v>2000</v>
      </c>
      <c r="CA18" s="8">
        <v>2</v>
      </c>
      <c r="CB18" s="8">
        <v>0</v>
      </c>
      <c r="CC18" s="8">
        <v>0</v>
      </c>
      <c r="CD18" s="8">
        <f t="shared" si="20"/>
        <v>2000</v>
      </c>
      <c r="CE18" s="8">
        <f t="shared" si="21"/>
        <v>2000</v>
      </c>
      <c r="CF18" s="8">
        <v>2</v>
      </c>
      <c r="CG18" s="8">
        <v>0</v>
      </c>
      <c r="CH18" s="8">
        <v>0</v>
      </c>
      <c r="CI18" s="8">
        <f t="shared" si="22"/>
        <v>2000</v>
      </c>
      <c r="CJ18" s="8">
        <f t="shared" si="23"/>
        <v>2000</v>
      </c>
      <c r="CK18" s="8">
        <v>2</v>
      </c>
      <c r="CL18" s="8">
        <v>0</v>
      </c>
      <c r="CM18" s="8">
        <v>0</v>
      </c>
      <c r="CN18" s="8">
        <v>0</v>
      </c>
      <c r="CO18" s="9">
        <f t="shared" si="24"/>
        <v>10000</v>
      </c>
      <c r="CP18" s="9">
        <f t="shared" si="24"/>
        <v>10000</v>
      </c>
      <c r="CQ18" s="8">
        <v>0.8</v>
      </c>
      <c r="CR18" s="8">
        <v>0</v>
      </c>
      <c r="CS18" s="8">
        <v>0</v>
      </c>
      <c r="CT18" s="8">
        <v>0</v>
      </c>
      <c r="CU18" s="8">
        <f t="shared" si="25"/>
        <v>-10000</v>
      </c>
      <c r="CV18" s="8">
        <f t="shared" si="25"/>
        <v>-10000</v>
      </c>
      <c r="CW18" s="8">
        <v>0</v>
      </c>
      <c r="CX18" s="8">
        <v>0</v>
      </c>
      <c r="CY18" s="8">
        <v>0</v>
      </c>
      <c r="CZ18" s="8">
        <v>0</v>
      </c>
      <c r="DA18" s="8">
        <f t="shared" si="26"/>
        <v>10000</v>
      </c>
      <c r="DB18" s="8">
        <f t="shared" si="26"/>
        <v>10000</v>
      </c>
    </row>
    <row r="19" spans="2:106" s="10" customFormat="1">
      <c r="B19" s="11" t="s">
        <v>105</v>
      </c>
      <c r="C19" s="11" t="s">
        <v>106</v>
      </c>
      <c r="D19" s="11" t="s">
        <v>160</v>
      </c>
      <c r="E19" s="11" t="s">
        <v>161</v>
      </c>
      <c r="F19" s="11"/>
      <c r="G19" s="11" t="s">
        <v>162</v>
      </c>
      <c r="H19" s="11">
        <v>5841813202</v>
      </c>
      <c r="I19" s="11" t="s">
        <v>109</v>
      </c>
      <c r="J19" s="11" t="s">
        <v>162</v>
      </c>
      <c r="K19" s="11" t="s">
        <v>162</v>
      </c>
      <c r="L19" s="11" t="s">
        <v>163</v>
      </c>
      <c r="M19" s="11" t="s">
        <v>112</v>
      </c>
      <c r="N19" s="12" t="s">
        <v>113</v>
      </c>
      <c r="O19" s="12"/>
      <c r="P19" s="13"/>
      <c r="Q19" s="13"/>
      <c r="R19" s="14">
        <v>0</v>
      </c>
      <c r="S19" s="14">
        <v>0</v>
      </c>
      <c r="T19" s="8">
        <f t="shared" si="0"/>
        <v>0</v>
      </c>
      <c r="U19" s="8">
        <f t="shared" si="1"/>
        <v>0</v>
      </c>
      <c r="V19" s="14">
        <v>0</v>
      </c>
      <c r="W19" s="14">
        <v>0</v>
      </c>
      <c r="X19" s="14">
        <v>0</v>
      </c>
      <c r="Y19" s="14">
        <v>0</v>
      </c>
      <c r="Z19" s="14">
        <v>0</v>
      </c>
      <c r="AA19" s="8">
        <f t="shared" si="2"/>
        <v>0</v>
      </c>
      <c r="AB19" s="8">
        <f t="shared" si="3"/>
        <v>0</v>
      </c>
      <c r="AC19" s="14">
        <v>0</v>
      </c>
      <c r="AD19" s="14">
        <v>0</v>
      </c>
      <c r="AE19" s="14">
        <v>0</v>
      </c>
      <c r="AF19" s="14">
        <v>0</v>
      </c>
      <c r="AG19" s="8">
        <v>0</v>
      </c>
      <c r="AH19" s="8">
        <f t="shared" si="4"/>
        <v>2000</v>
      </c>
      <c r="AI19" s="8">
        <f t="shared" si="5"/>
        <v>2000</v>
      </c>
      <c r="AJ19" s="14">
        <v>2</v>
      </c>
      <c r="AK19" s="14">
        <v>0</v>
      </c>
      <c r="AL19" s="14">
        <v>0</v>
      </c>
      <c r="AM19" s="14">
        <v>0</v>
      </c>
      <c r="AN19" s="8">
        <v>0</v>
      </c>
      <c r="AO19" s="8">
        <f t="shared" si="6"/>
        <v>3000</v>
      </c>
      <c r="AP19" s="8">
        <f t="shared" si="7"/>
        <v>3000</v>
      </c>
      <c r="AQ19" s="14">
        <v>3</v>
      </c>
      <c r="AR19" s="14">
        <v>0</v>
      </c>
      <c r="AS19" s="14">
        <v>0</v>
      </c>
      <c r="AT19" s="14">
        <v>0</v>
      </c>
      <c r="AU19" s="8">
        <v>0</v>
      </c>
      <c r="AV19" s="8">
        <f t="shared" si="8"/>
        <v>4000</v>
      </c>
      <c r="AW19" s="8">
        <f t="shared" si="9"/>
        <v>4000</v>
      </c>
      <c r="AX19" s="14">
        <v>4</v>
      </c>
      <c r="AY19" s="14">
        <v>0</v>
      </c>
      <c r="AZ19" s="14">
        <v>0</v>
      </c>
      <c r="BA19" s="14">
        <v>0</v>
      </c>
      <c r="BB19" s="8">
        <v>0</v>
      </c>
      <c r="BC19" s="8">
        <f t="shared" si="10"/>
        <v>4000</v>
      </c>
      <c r="BD19" s="8">
        <f t="shared" si="11"/>
        <v>4000</v>
      </c>
      <c r="BE19" s="14">
        <v>4</v>
      </c>
      <c r="BF19" s="14">
        <v>0</v>
      </c>
      <c r="BG19" s="14">
        <v>0</v>
      </c>
      <c r="BH19" s="14">
        <v>0</v>
      </c>
      <c r="BI19" s="8">
        <v>0</v>
      </c>
      <c r="BJ19" s="8">
        <f t="shared" si="12"/>
        <v>4000</v>
      </c>
      <c r="BK19" s="8">
        <f t="shared" si="13"/>
        <v>4000</v>
      </c>
      <c r="BL19" s="14">
        <v>4</v>
      </c>
      <c r="BM19" s="14">
        <v>0</v>
      </c>
      <c r="BN19" s="14">
        <v>0</v>
      </c>
      <c r="BO19" s="8">
        <f t="shared" si="14"/>
        <v>4000</v>
      </c>
      <c r="BP19" s="8">
        <f t="shared" si="15"/>
        <v>4000</v>
      </c>
      <c r="BQ19" s="14">
        <v>4</v>
      </c>
      <c r="BR19" s="14">
        <v>0</v>
      </c>
      <c r="BS19" s="14">
        <v>0</v>
      </c>
      <c r="BT19" s="8">
        <f t="shared" si="16"/>
        <v>4000</v>
      </c>
      <c r="BU19" s="8">
        <f t="shared" si="17"/>
        <v>4000</v>
      </c>
      <c r="BV19" s="14">
        <v>4</v>
      </c>
      <c r="BW19" s="14">
        <v>0</v>
      </c>
      <c r="BX19" s="14">
        <v>0</v>
      </c>
      <c r="BY19" s="8">
        <f t="shared" si="18"/>
        <v>4000</v>
      </c>
      <c r="BZ19" s="8">
        <f t="shared" si="19"/>
        <v>4000</v>
      </c>
      <c r="CA19" s="14">
        <v>4</v>
      </c>
      <c r="CB19" s="14">
        <v>0</v>
      </c>
      <c r="CC19" s="14">
        <v>0</v>
      </c>
      <c r="CD19" s="8">
        <f t="shared" si="20"/>
        <v>4000</v>
      </c>
      <c r="CE19" s="8">
        <f t="shared" si="21"/>
        <v>4000</v>
      </c>
      <c r="CF19" s="14">
        <v>4</v>
      </c>
      <c r="CG19" s="14">
        <v>0</v>
      </c>
      <c r="CH19" s="14">
        <v>0</v>
      </c>
      <c r="CI19" s="8">
        <f t="shared" si="22"/>
        <v>4000</v>
      </c>
      <c r="CJ19" s="8">
        <f t="shared" si="23"/>
        <v>4000</v>
      </c>
      <c r="CK19" s="14">
        <v>4</v>
      </c>
      <c r="CL19" s="14">
        <v>0</v>
      </c>
      <c r="CM19" s="14">
        <v>0</v>
      </c>
      <c r="CN19" s="14">
        <v>0</v>
      </c>
      <c r="CO19" s="9">
        <f t="shared" si="24"/>
        <v>37000</v>
      </c>
      <c r="CP19" s="9">
        <f t="shared" si="24"/>
        <v>37000</v>
      </c>
      <c r="CQ19" s="14">
        <v>3.1</v>
      </c>
      <c r="CR19" s="14">
        <v>0</v>
      </c>
      <c r="CS19" s="14">
        <v>0</v>
      </c>
      <c r="CT19" s="14">
        <v>0</v>
      </c>
      <c r="CU19" s="8">
        <f t="shared" si="25"/>
        <v>-37000</v>
      </c>
      <c r="CV19" s="8">
        <f t="shared" si="25"/>
        <v>-37000</v>
      </c>
      <c r="CW19" s="14">
        <v>0</v>
      </c>
      <c r="CX19" s="14">
        <v>0</v>
      </c>
      <c r="CY19" s="14">
        <v>0</v>
      </c>
      <c r="CZ19" s="14">
        <v>0</v>
      </c>
      <c r="DA19" s="8">
        <f t="shared" si="26"/>
        <v>37000</v>
      </c>
      <c r="DB19" s="8">
        <f t="shared" si="26"/>
        <v>37000</v>
      </c>
    </row>
    <row r="20" spans="2:106" s="4" customFormat="1">
      <c r="B20" s="5" t="s">
        <v>105</v>
      </c>
      <c r="C20" s="5" t="s">
        <v>106</v>
      </c>
      <c r="D20" s="5" t="s">
        <v>124</v>
      </c>
      <c r="E20" s="5" t="s">
        <v>167</v>
      </c>
      <c r="F20" s="5"/>
      <c r="G20" s="5" t="s">
        <v>168</v>
      </c>
      <c r="H20" s="5" t="s">
        <v>168</v>
      </c>
      <c r="I20" s="5" t="s">
        <v>109</v>
      </c>
      <c r="J20" s="5" t="s">
        <v>168</v>
      </c>
      <c r="K20" s="5" t="s">
        <v>168</v>
      </c>
      <c r="L20" s="5" t="s">
        <v>163</v>
      </c>
      <c r="M20" s="5" t="s">
        <v>128</v>
      </c>
      <c r="N20" s="6" t="s">
        <v>113</v>
      </c>
      <c r="O20" s="6"/>
      <c r="P20" s="7"/>
      <c r="Q20" s="7"/>
      <c r="R20" s="8">
        <v>0</v>
      </c>
      <c r="S20" s="8">
        <v>0</v>
      </c>
      <c r="T20" s="8">
        <f t="shared" si="0"/>
        <v>0</v>
      </c>
      <c r="U20" s="8">
        <f t="shared" si="1"/>
        <v>0</v>
      </c>
      <c r="V20" s="8">
        <v>0</v>
      </c>
      <c r="W20" s="8">
        <v>0</v>
      </c>
      <c r="X20" s="8">
        <v>0</v>
      </c>
      <c r="Y20" s="8">
        <v>0</v>
      </c>
      <c r="Z20" s="8">
        <v>0</v>
      </c>
      <c r="AA20" s="8">
        <f t="shared" si="2"/>
        <v>0</v>
      </c>
      <c r="AB20" s="8">
        <f t="shared" si="3"/>
        <v>0</v>
      </c>
      <c r="AC20" s="8">
        <v>0</v>
      </c>
      <c r="AD20" s="8">
        <v>0</v>
      </c>
      <c r="AE20" s="8">
        <v>0</v>
      </c>
      <c r="AF20" s="8">
        <v>0</v>
      </c>
      <c r="AG20" s="8">
        <v>0</v>
      </c>
      <c r="AH20" s="8">
        <f t="shared" si="4"/>
        <v>0</v>
      </c>
      <c r="AI20" s="8">
        <f t="shared" si="5"/>
        <v>0</v>
      </c>
      <c r="AJ20" s="8">
        <v>0</v>
      </c>
      <c r="AK20" s="8">
        <v>0</v>
      </c>
      <c r="AL20" s="8">
        <v>0</v>
      </c>
      <c r="AM20" s="8">
        <v>0</v>
      </c>
      <c r="AN20" s="8">
        <v>0</v>
      </c>
      <c r="AO20" s="8">
        <f t="shared" si="6"/>
        <v>0</v>
      </c>
      <c r="AP20" s="8">
        <f t="shared" si="7"/>
        <v>0</v>
      </c>
      <c r="AQ20" s="8">
        <v>0</v>
      </c>
      <c r="AR20" s="8">
        <v>0</v>
      </c>
      <c r="AS20" s="8">
        <v>0</v>
      </c>
      <c r="AT20" s="8">
        <v>0</v>
      </c>
      <c r="AU20" s="8">
        <v>0</v>
      </c>
      <c r="AV20" s="8">
        <f t="shared" si="8"/>
        <v>0</v>
      </c>
      <c r="AW20" s="8">
        <f t="shared" si="9"/>
        <v>0</v>
      </c>
      <c r="AX20" s="8">
        <v>0</v>
      </c>
      <c r="AY20" s="8">
        <v>0</v>
      </c>
      <c r="AZ20" s="8">
        <v>0</v>
      </c>
      <c r="BA20" s="8">
        <v>0</v>
      </c>
      <c r="BB20" s="8">
        <v>0</v>
      </c>
      <c r="BC20" s="8">
        <f t="shared" si="10"/>
        <v>0</v>
      </c>
      <c r="BD20" s="8">
        <f t="shared" si="11"/>
        <v>0</v>
      </c>
      <c r="BE20" s="8">
        <v>0</v>
      </c>
      <c r="BF20" s="8">
        <v>0</v>
      </c>
      <c r="BG20" s="8">
        <v>0</v>
      </c>
      <c r="BH20" s="8">
        <v>0</v>
      </c>
      <c r="BI20" s="8">
        <v>0</v>
      </c>
      <c r="BJ20" s="8">
        <f t="shared" si="12"/>
        <v>0</v>
      </c>
      <c r="BK20" s="8">
        <f t="shared" si="13"/>
        <v>0</v>
      </c>
      <c r="BL20" s="8">
        <v>0</v>
      </c>
      <c r="BM20" s="8">
        <v>0</v>
      </c>
      <c r="BN20" s="8">
        <v>0</v>
      </c>
      <c r="BO20" s="8">
        <f t="shared" si="14"/>
        <v>0</v>
      </c>
      <c r="BP20" s="8">
        <f t="shared" si="15"/>
        <v>0</v>
      </c>
      <c r="BQ20" s="8">
        <v>0</v>
      </c>
      <c r="BR20" s="8">
        <v>0</v>
      </c>
      <c r="BS20" s="8">
        <v>0</v>
      </c>
      <c r="BT20" s="8">
        <f t="shared" si="16"/>
        <v>4000</v>
      </c>
      <c r="BU20" s="8">
        <f t="shared" si="17"/>
        <v>4000</v>
      </c>
      <c r="BV20" s="8">
        <v>4</v>
      </c>
      <c r="BW20" s="8">
        <v>0</v>
      </c>
      <c r="BX20" s="8">
        <v>0</v>
      </c>
      <c r="BY20" s="8">
        <f t="shared" si="18"/>
        <v>4000</v>
      </c>
      <c r="BZ20" s="8">
        <f t="shared" si="19"/>
        <v>4000</v>
      </c>
      <c r="CA20" s="8">
        <v>4</v>
      </c>
      <c r="CB20" s="8">
        <v>0</v>
      </c>
      <c r="CC20" s="8">
        <v>0</v>
      </c>
      <c r="CD20" s="8">
        <f t="shared" si="20"/>
        <v>4000</v>
      </c>
      <c r="CE20" s="8">
        <f t="shared" si="21"/>
        <v>4000</v>
      </c>
      <c r="CF20" s="8">
        <v>4</v>
      </c>
      <c r="CG20" s="8">
        <v>0</v>
      </c>
      <c r="CH20" s="8">
        <v>0</v>
      </c>
      <c r="CI20" s="8">
        <f t="shared" si="22"/>
        <v>4000</v>
      </c>
      <c r="CJ20" s="8">
        <f t="shared" si="23"/>
        <v>4000</v>
      </c>
      <c r="CK20" s="8">
        <v>4</v>
      </c>
      <c r="CL20" s="8">
        <v>0</v>
      </c>
      <c r="CM20" s="8">
        <v>0</v>
      </c>
      <c r="CN20" s="8">
        <v>0</v>
      </c>
      <c r="CO20" s="9">
        <f t="shared" si="24"/>
        <v>16000</v>
      </c>
      <c r="CP20" s="9">
        <f t="shared" si="24"/>
        <v>16000</v>
      </c>
      <c r="CQ20" s="8">
        <v>1.3</v>
      </c>
      <c r="CR20" s="8">
        <v>0</v>
      </c>
      <c r="CS20" s="8">
        <v>0</v>
      </c>
      <c r="CT20" s="8">
        <v>0</v>
      </c>
      <c r="CU20" s="8">
        <f t="shared" si="25"/>
        <v>-16000</v>
      </c>
      <c r="CV20" s="8">
        <f t="shared" si="25"/>
        <v>-16000</v>
      </c>
      <c r="CW20" s="8">
        <v>0</v>
      </c>
      <c r="CX20" s="8">
        <v>0</v>
      </c>
      <c r="CY20" s="8">
        <v>0</v>
      </c>
      <c r="CZ20" s="8">
        <v>0</v>
      </c>
      <c r="DA20" s="8">
        <f t="shared" si="26"/>
        <v>16000</v>
      </c>
      <c r="DB20" s="8">
        <f t="shared" si="26"/>
        <v>16000</v>
      </c>
    </row>
    <row r="21" spans="2:106" s="10" customFormat="1">
      <c r="B21" s="11"/>
      <c r="C21" s="11" t="s">
        <v>173</v>
      </c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2"/>
      <c r="O21" s="12"/>
      <c r="P21" s="13"/>
      <c r="Q21" s="13"/>
      <c r="R21" s="14">
        <v>0</v>
      </c>
      <c r="S21" s="14">
        <v>0</v>
      </c>
      <c r="T21" s="8">
        <v>78000</v>
      </c>
      <c r="U21" s="8">
        <v>78000</v>
      </c>
      <c r="V21" s="14">
        <v>78</v>
      </c>
      <c r="W21" s="14">
        <v>0</v>
      </c>
      <c r="X21" s="14">
        <v>0</v>
      </c>
      <c r="Y21" s="14">
        <v>0</v>
      </c>
      <c r="Z21" s="14">
        <v>0</v>
      </c>
      <c r="AA21" s="8">
        <v>83000</v>
      </c>
      <c r="AB21" s="8">
        <v>83000</v>
      </c>
      <c r="AC21" s="14">
        <v>83</v>
      </c>
      <c r="AD21" s="14">
        <v>0</v>
      </c>
      <c r="AE21" s="14">
        <v>0</v>
      </c>
      <c r="AF21" s="14">
        <v>0</v>
      </c>
      <c r="AG21" s="8">
        <v>0</v>
      </c>
      <c r="AH21" s="8">
        <v>83000</v>
      </c>
      <c r="AI21" s="8">
        <v>83000</v>
      </c>
      <c r="AJ21" s="14">
        <v>83</v>
      </c>
      <c r="AK21" s="14">
        <v>0</v>
      </c>
      <c r="AL21" s="14">
        <v>0</v>
      </c>
      <c r="AM21" s="14">
        <v>0</v>
      </c>
      <c r="AN21" s="8">
        <v>0</v>
      </c>
      <c r="AO21" s="8">
        <v>89000</v>
      </c>
      <c r="AP21" s="8">
        <v>89000</v>
      </c>
      <c r="AQ21" s="14">
        <v>89</v>
      </c>
      <c r="AR21" s="14">
        <v>0</v>
      </c>
      <c r="AS21" s="14">
        <v>0</v>
      </c>
      <c r="AT21" s="14">
        <v>0</v>
      </c>
      <c r="AU21" s="8">
        <v>0</v>
      </c>
      <c r="AV21" s="8">
        <v>89000</v>
      </c>
      <c r="AW21" s="8">
        <v>89000</v>
      </c>
      <c r="AX21" s="14">
        <v>89</v>
      </c>
      <c r="AY21" s="14">
        <v>818.01</v>
      </c>
      <c r="AZ21" s="14">
        <v>0</v>
      </c>
      <c r="BA21" s="14">
        <v>0</v>
      </c>
      <c r="BB21" s="8">
        <v>0</v>
      </c>
      <c r="BC21" s="8">
        <v>93000</v>
      </c>
      <c r="BD21" s="8">
        <v>93000</v>
      </c>
      <c r="BE21" s="14">
        <v>93</v>
      </c>
      <c r="BF21" s="14">
        <v>0</v>
      </c>
      <c r="BG21" s="14">
        <v>0</v>
      </c>
      <c r="BH21" s="14">
        <v>0</v>
      </c>
      <c r="BI21" s="8">
        <v>0</v>
      </c>
      <c r="BJ21" s="8">
        <v>93000</v>
      </c>
      <c r="BK21" s="8">
        <v>93000</v>
      </c>
      <c r="BL21" s="14">
        <v>93</v>
      </c>
      <c r="BM21" s="14">
        <v>0</v>
      </c>
      <c r="BN21" s="14">
        <v>0</v>
      </c>
      <c r="BO21" s="8">
        <v>84000</v>
      </c>
      <c r="BP21" s="8">
        <v>84000</v>
      </c>
      <c r="BQ21" s="14">
        <v>84</v>
      </c>
      <c r="BR21" s="14">
        <v>0</v>
      </c>
      <c r="BS21" s="14">
        <v>0</v>
      </c>
      <c r="BT21" s="8">
        <v>88320</v>
      </c>
      <c r="BU21" s="8">
        <v>86296</v>
      </c>
      <c r="BV21" s="14">
        <v>92</v>
      </c>
      <c r="BW21" s="14">
        <v>0</v>
      </c>
      <c r="BX21" s="14">
        <v>0</v>
      </c>
      <c r="BY21" s="8">
        <v>88320</v>
      </c>
      <c r="BZ21" s="8">
        <v>86296</v>
      </c>
      <c r="CA21" s="14">
        <v>92</v>
      </c>
      <c r="CB21" s="14">
        <v>0</v>
      </c>
      <c r="CC21" s="14">
        <v>0</v>
      </c>
      <c r="CD21" s="8">
        <v>88320</v>
      </c>
      <c r="CE21" s="8">
        <v>86296</v>
      </c>
      <c r="CF21" s="14">
        <v>92</v>
      </c>
      <c r="CG21" s="14">
        <v>0</v>
      </c>
      <c r="CH21" s="14">
        <v>0</v>
      </c>
      <c r="CI21" s="8">
        <v>88320</v>
      </c>
      <c r="CJ21" s="8">
        <v>86296</v>
      </c>
      <c r="CK21" s="14">
        <v>92</v>
      </c>
      <c r="CL21" s="14">
        <v>0</v>
      </c>
      <c r="CM21" s="14">
        <v>0</v>
      </c>
      <c r="CN21" s="14">
        <v>0</v>
      </c>
      <c r="CO21" s="9">
        <v>1045280</v>
      </c>
      <c r="CP21" s="9">
        <v>1037184</v>
      </c>
      <c r="CQ21" s="14">
        <v>87.799999999999983</v>
      </c>
      <c r="CR21" s="14">
        <v>0</v>
      </c>
      <c r="CS21" s="14">
        <v>0</v>
      </c>
      <c r="CT21" s="14">
        <v>0</v>
      </c>
      <c r="CU21" s="8">
        <v>-1045280</v>
      </c>
      <c r="CV21" s="8">
        <v>-1037184</v>
      </c>
      <c r="CW21" s="14">
        <v>0</v>
      </c>
      <c r="CX21" s="14">
        <v>0</v>
      </c>
      <c r="CY21" s="14">
        <v>0</v>
      </c>
      <c r="CZ21" s="14">
        <v>0</v>
      </c>
      <c r="DA21" s="8">
        <v>1045280</v>
      </c>
      <c r="DB21" s="8">
        <v>1037184</v>
      </c>
    </row>
    <row r="22" spans="2:106" s="4" customFormat="1"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6"/>
      <c r="O22" s="6"/>
      <c r="P22" s="7"/>
      <c r="Q22" s="7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9"/>
      <c r="CP22" s="9"/>
      <c r="CQ22" s="8"/>
      <c r="CR22" s="8"/>
      <c r="CS22" s="8"/>
      <c r="CT22" s="8"/>
      <c r="CU22" s="8"/>
      <c r="CV22" s="8"/>
      <c r="CW22" s="8"/>
      <c r="CX22" s="8"/>
      <c r="CY22" s="8"/>
      <c r="CZ22" s="8"/>
      <c r="DA22" s="8"/>
      <c r="DB22" s="8"/>
    </row>
    <row r="23" spans="2:106" s="10" customFormat="1">
      <c r="B23" s="11" t="s">
        <v>201</v>
      </c>
      <c r="C23" s="11" t="s">
        <v>106</v>
      </c>
      <c r="D23" s="11" t="s">
        <v>164</v>
      </c>
      <c r="E23" s="11" t="s">
        <v>165</v>
      </c>
      <c r="F23" s="11"/>
      <c r="G23" s="11" t="s">
        <v>166</v>
      </c>
      <c r="H23" s="11">
        <v>5842263202</v>
      </c>
      <c r="I23" s="11" t="s">
        <v>109</v>
      </c>
      <c r="J23" s="11" t="s">
        <v>166</v>
      </c>
      <c r="K23" s="11" t="s">
        <v>166</v>
      </c>
      <c r="L23" s="11" t="s">
        <v>163</v>
      </c>
      <c r="M23" s="11" t="s">
        <v>128</v>
      </c>
      <c r="N23" s="12" t="s">
        <v>113</v>
      </c>
      <c r="O23" s="12"/>
      <c r="P23" s="13"/>
      <c r="Q23" s="13"/>
      <c r="R23" s="14">
        <v>0</v>
      </c>
      <c r="S23" s="14">
        <v>0</v>
      </c>
      <c r="T23" s="8">
        <f>1000*V23</f>
        <v>0</v>
      </c>
      <c r="U23" s="8">
        <f>1000*V23</f>
        <v>0</v>
      </c>
      <c r="V23" s="14">
        <v>0</v>
      </c>
      <c r="W23" s="14">
        <v>0</v>
      </c>
      <c r="X23" s="14">
        <v>0</v>
      </c>
      <c r="Y23" s="14">
        <v>0</v>
      </c>
      <c r="Z23" s="14">
        <v>0</v>
      </c>
      <c r="AA23" s="8">
        <f>1000*AC23</f>
        <v>5000</v>
      </c>
      <c r="AB23" s="8">
        <f>1000*AC23</f>
        <v>5000</v>
      </c>
      <c r="AC23" s="14">
        <v>5</v>
      </c>
      <c r="AD23" s="14">
        <v>0</v>
      </c>
      <c r="AE23" s="14">
        <v>0</v>
      </c>
      <c r="AF23" s="14">
        <v>0</v>
      </c>
      <c r="AG23" s="8">
        <v>0</v>
      </c>
      <c r="AH23" s="8">
        <f>1000*AJ23</f>
        <v>5000</v>
      </c>
      <c r="AI23" s="8">
        <f>1000*AJ23</f>
        <v>5000</v>
      </c>
      <c r="AJ23" s="14">
        <v>5</v>
      </c>
      <c r="AK23" s="14">
        <v>0</v>
      </c>
      <c r="AL23" s="14">
        <v>0</v>
      </c>
      <c r="AM23" s="14">
        <v>0</v>
      </c>
      <c r="AN23" s="8">
        <v>0</v>
      </c>
      <c r="AO23" s="8">
        <f>1000*AQ23</f>
        <v>5000</v>
      </c>
      <c r="AP23" s="8">
        <f>1000*AQ23</f>
        <v>5000</v>
      </c>
      <c r="AQ23" s="14">
        <v>5</v>
      </c>
      <c r="AR23" s="14">
        <v>0</v>
      </c>
      <c r="AS23" s="14">
        <v>0</v>
      </c>
      <c r="AT23" s="14">
        <v>0</v>
      </c>
      <c r="AU23" s="8">
        <v>0</v>
      </c>
      <c r="AV23" s="8">
        <f>1000*AX23</f>
        <v>5000</v>
      </c>
      <c r="AW23" s="8">
        <f>1000*AX23</f>
        <v>5000</v>
      </c>
      <c r="AX23" s="14">
        <v>5</v>
      </c>
      <c r="AY23" s="14">
        <v>0</v>
      </c>
      <c r="AZ23" s="14">
        <v>0</v>
      </c>
      <c r="BA23" s="14">
        <v>0</v>
      </c>
      <c r="BB23" s="8">
        <v>0</v>
      </c>
      <c r="BC23" s="8">
        <f>1000*BE23</f>
        <v>5000</v>
      </c>
      <c r="BD23" s="8">
        <f>1000*BE23</f>
        <v>5000</v>
      </c>
      <c r="BE23" s="14">
        <v>5</v>
      </c>
      <c r="BF23" s="14">
        <v>0</v>
      </c>
      <c r="BG23" s="14">
        <v>0</v>
      </c>
      <c r="BH23" s="14">
        <v>0</v>
      </c>
      <c r="BI23" s="8">
        <v>0</v>
      </c>
      <c r="BJ23" s="8">
        <f>1000*BL23</f>
        <v>5000</v>
      </c>
      <c r="BK23" s="8">
        <f>1000*BL23</f>
        <v>5000</v>
      </c>
      <c r="BL23" s="14">
        <v>5</v>
      </c>
      <c r="BM23" s="14">
        <v>0</v>
      </c>
      <c r="BN23" s="14">
        <v>0</v>
      </c>
      <c r="BO23" s="8">
        <f>1000*BQ23</f>
        <v>5000</v>
      </c>
      <c r="BP23" s="8">
        <f>1000*BQ23</f>
        <v>5000</v>
      </c>
      <c r="BQ23" s="14">
        <v>5</v>
      </c>
      <c r="BR23" s="14">
        <v>0</v>
      </c>
      <c r="BS23" s="14">
        <v>0</v>
      </c>
      <c r="BT23" s="8">
        <f>1000*BV23</f>
        <v>5000</v>
      </c>
      <c r="BU23" s="8">
        <f>1000*BV23</f>
        <v>5000</v>
      </c>
      <c r="BV23" s="14">
        <v>5</v>
      </c>
      <c r="BW23" s="14">
        <v>0</v>
      </c>
      <c r="BX23" s="14">
        <v>0</v>
      </c>
      <c r="BY23" s="8">
        <f>1000*CA23</f>
        <v>5000</v>
      </c>
      <c r="BZ23" s="8">
        <f>1000*CA23</f>
        <v>5000</v>
      </c>
      <c r="CA23" s="14">
        <v>5</v>
      </c>
      <c r="CB23" s="14">
        <v>0</v>
      </c>
      <c r="CC23" s="14">
        <v>0</v>
      </c>
      <c r="CD23" s="8">
        <f>1000*CF23</f>
        <v>5000</v>
      </c>
      <c r="CE23" s="8">
        <f>1000*CF23</f>
        <v>5000</v>
      </c>
      <c r="CF23" s="14">
        <v>5</v>
      </c>
      <c r="CG23" s="14">
        <v>0</v>
      </c>
      <c r="CH23" s="14">
        <v>0</v>
      </c>
      <c r="CI23" s="8">
        <f>1000*CK23</f>
        <v>5000</v>
      </c>
      <c r="CJ23" s="8">
        <f>1000*CK23</f>
        <v>5000</v>
      </c>
      <c r="CK23" s="14">
        <v>5</v>
      </c>
      <c r="CL23" s="14">
        <v>0</v>
      </c>
      <c r="CM23" s="14">
        <v>0</v>
      </c>
      <c r="CN23" s="14">
        <v>0</v>
      </c>
      <c r="CO23" s="9">
        <f>SUM(T23,AA23,AH23,AO23,AV23,BC23,BJ23,BO23,BT23,BY23,CD23,CI23)</f>
        <v>55000</v>
      </c>
      <c r="CP23" s="9">
        <f>SUM(U23,AB23,AI23,AP23,AW23,BD23,BK23,BP23,BU23,BZ23,CE23,CJ23)</f>
        <v>55000</v>
      </c>
      <c r="CQ23" s="14">
        <v>4.5999999999999996</v>
      </c>
      <c r="CR23" s="14">
        <v>0</v>
      </c>
      <c r="CS23" s="14">
        <v>0</v>
      </c>
      <c r="CT23" s="14">
        <v>0</v>
      </c>
      <c r="CU23" s="8">
        <f>CS23-CO23</f>
        <v>-55000</v>
      </c>
      <c r="CV23" s="8">
        <f>CT23-CP23</f>
        <v>-55000</v>
      </c>
      <c r="CW23" s="14">
        <v>0</v>
      </c>
      <c r="CX23" s="14">
        <v>0</v>
      </c>
      <c r="CY23" s="14">
        <v>0</v>
      </c>
      <c r="CZ23" s="14">
        <v>0</v>
      </c>
      <c r="DA23" s="8">
        <f>CO23</f>
        <v>55000</v>
      </c>
      <c r="DB23" s="8">
        <f>CP23</f>
        <v>55000</v>
      </c>
    </row>
    <row r="24" spans="2:106" s="4" customFormat="1">
      <c r="B24" s="5" t="s">
        <v>192</v>
      </c>
      <c r="C24" s="5" t="s">
        <v>106</v>
      </c>
      <c r="D24" s="5" t="s">
        <v>107</v>
      </c>
      <c r="E24" s="5" t="s">
        <v>169</v>
      </c>
      <c r="F24" s="5"/>
      <c r="G24" s="5" t="s">
        <v>170</v>
      </c>
      <c r="H24" s="5">
        <v>5841813202</v>
      </c>
      <c r="I24" s="5" t="s">
        <v>109</v>
      </c>
      <c r="J24" s="5" t="s">
        <v>170</v>
      </c>
      <c r="K24" s="5" t="s">
        <v>170</v>
      </c>
      <c r="L24" s="5" t="s">
        <v>163</v>
      </c>
      <c r="M24" s="5" t="s">
        <v>112</v>
      </c>
      <c r="N24" s="6" t="s">
        <v>113</v>
      </c>
      <c r="O24" s="6"/>
      <c r="P24" s="7"/>
      <c r="Q24" s="7"/>
      <c r="R24" s="8">
        <v>0</v>
      </c>
      <c r="S24" s="8">
        <v>0</v>
      </c>
      <c r="T24" s="8">
        <f>1000*V24</f>
        <v>0</v>
      </c>
      <c r="U24" s="8">
        <f>1000*V24</f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f>1000*AC24</f>
        <v>0</v>
      </c>
      <c r="AB24" s="8">
        <f>1000*AC24</f>
        <v>0</v>
      </c>
      <c r="AC24" s="8">
        <v>0</v>
      </c>
      <c r="AD24" s="8">
        <v>0</v>
      </c>
      <c r="AE24" s="8">
        <v>0</v>
      </c>
      <c r="AF24" s="8">
        <v>0</v>
      </c>
      <c r="AG24" s="8">
        <v>0</v>
      </c>
      <c r="AH24" s="8">
        <f>1000*AJ24</f>
        <v>0</v>
      </c>
      <c r="AI24" s="8">
        <f>1000*AJ24</f>
        <v>0</v>
      </c>
      <c r="AJ24" s="8">
        <v>0</v>
      </c>
      <c r="AK24" s="8">
        <v>0</v>
      </c>
      <c r="AL24" s="8">
        <v>0</v>
      </c>
      <c r="AM24" s="8">
        <v>0</v>
      </c>
      <c r="AN24" s="8">
        <v>0</v>
      </c>
      <c r="AO24" s="8">
        <f>1000*AQ24</f>
        <v>0</v>
      </c>
      <c r="AP24" s="8">
        <f>1000*AQ24</f>
        <v>0</v>
      </c>
      <c r="AQ24" s="8">
        <v>0</v>
      </c>
      <c r="AR24" s="8">
        <v>0</v>
      </c>
      <c r="AS24" s="8">
        <v>0</v>
      </c>
      <c r="AT24" s="8">
        <v>0</v>
      </c>
      <c r="AU24" s="8">
        <v>0</v>
      </c>
      <c r="AV24" s="8">
        <f>1000*AX24</f>
        <v>0</v>
      </c>
      <c r="AW24" s="8">
        <f>1000*AX24</f>
        <v>0</v>
      </c>
      <c r="AX24" s="8">
        <v>0</v>
      </c>
      <c r="AY24" s="8">
        <v>0</v>
      </c>
      <c r="AZ24" s="8">
        <v>0</v>
      </c>
      <c r="BA24" s="8">
        <v>0</v>
      </c>
      <c r="BB24" s="8">
        <v>0</v>
      </c>
      <c r="BC24" s="8">
        <f>1000*BE24</f>
        <v>0</v>
      </c>
      <c r="BD24" s="8">
        <f>1000*BE24</f>
        <v>0</v>
      </c>
      <c r="BE24" s="8">
        <v>0</v>
      </c>
      <c r="BF24" s="8">
        <v>0</v>
      </c>
      <c r="BG24" s="8">
        <v>0</v>
      </c>
      <c r="BH24" s="8">
        <v>0</v>
      </c>
      <c r="BI24" s="8">
        <v>0</v>
      </c>
      <c r="BJ24" s="8">
        <f>1000*BL24</f>
        <v>0</v>
      </c>
      <c r="BK24" s="8">
        <f>1000*BL24</f>
        <v>0</v>
      </c>
      <c r="BL24" s="8">
        <v>0</v>
      </c>
      <c r="BM24" s="8">
        <v>0</v>
      </c>
      <c r="BN24" s="8">
        <v>0</v>
      </c>
      <c r="BO24" s="8">
        <f>1000*BQ24</f>
        <v>4000</v>
      </c>
      <c r="BP24" s="8">
        <f>1000*BQ24</f>
        <v>4000</v>
      </c>
      <c r="BQ24" s="8">
        <v>4</v>
      </c>
      <c r="BR24" s="8">
        <v>0</v>
      </c>
      <c r="BS24" s="8">
        <v>0</v>
      </c>
      <c r="BT24" s="8">
        <f>1000*BV24</f>
        <v>4000</v>
      </c>
      <c r="BU24" s="8">
        <f>1000*BV24</f>
        <v>4000</v>
      </c>
      <c r="BV24" s="8">
        <v>4</v>
      </c>
      <c r="BW24" s="8">
        <v>0</v>
      </c>
      <c r="BX24" s="8">
        <v>0</v>
      </c>
      <c r="BY24" s="8">
        <f>1000*CA24</f>
        <v>4000</v>
      </c>
      <c r="BZ24" s="8">
        <f>1000*CA24</f>
        <v>4000</v>
      </c>
      <c r="CA24" s="8">
        <v>4</v>
      </c>
      <c r="CB24" s="8">
        <v>0</v>
      </c>
      <c r="CC24" s="8">
        <v>0</v>
      </c>
      <c r="CD24" s="8">
        <f>1000*CF24</f>
        <v>4000</v>
      </c>
      <c r="CE24" s="8">
        <f>1000*CF24</f>
        <v>4000</v>
      </c>
      <c r="CF24" s="8">
        <v>4</v>
      </c>
      <c r="CG24" s="8">
        <v>0</v>
      </c>
      <c r="CH24" s="8">
        <v>0</v>
      </c>
      <c r="CI24" s="8">
        <f>1000*CK24</f>
        <v>4000</v>
      </c>
      <c r="CJ24" s="8">
        <f>1000*CK24</f>
        <v>4000</v>
      </c>
      <c r="CK24" s="8">
        <v>4</v>
      </c>
      <c r="CL24" s="8">
        <v>0</v>
      </c>
      <c r="CM24" s="8">
        <v>0</v>
      </c>
      <c r="CN24" s="8">
        <v>0</v>
      </c>
      <c r="CO24" s="9">
        <f>SUM(T24,AA24,AH24,AO24,AV24,BC24,BJ24,BO24,BT24,BY24,CD24,CI24)</f>
        <v>20000</v>
      </c>
      <c r="CP24" s="9">
        <f>SUM(U24,AB24,AI24,AP24,AW24,BD24,BK24,BP24,BU24,BZ24,CE24,CJ24)</f>
        <v>20000</v>
      </c>
      <c r="CQ24" s="8">
        <v>2</v>
      </c>
      <c r="CR24" s="8">
        <v>0</v>
      </c>
      <c r="CS24" s="8">
        <v>0</v>
      </c>
      <c r="CT24" s="8">
        <v>0</v>
      </c>
      <c r="CU24" s="8">
        <f>CS24-CO24</f>
        <v>-20000</v>
      </c>
      <c r="CV24" s="8">
        <f>CT24-CP24</f>
        <v>-20000</v>
      </c>
      <c r="CW24" s="8">
        <v>0</v>
      </c>
      <c r="CX24" s="8">
        <v>0</v>
      </c>
      <c r="CY24" s="8">
        <v>0</v>
      </c>
      <c r="CZ24" s="8">
        <v>0</v>
      </c>
      <c r="DA24" s="8">
        <f>CO24</f>
        <v>20000</v>
      </c>
      <c r="DB24" s="8">
        <f>CP24</f>
        <v>20000</v>
      </c>
    </row>
    <row r="25" spans="2:106" s="10" customFormat="1">
      <c r="B25" s="11"/>
      <c r="C25" s="11" t="s">
        <v>173</v>
      </c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2"/>
      <c r="O25" s="12"/>
      <c r="P25" s="13"/>
      <c r="Q25" s="13"/>
      <c r="R25" s="14"/>
      <c r="S25" s="14"/>
      <c r="T25" s="8">
        <v>0</v>
      </c>
      <c r="U25" s="8">
        <v>0</v>
      </c>
      <c r="V25" s="14">
        <v>0</v>
      </c>
      <c r="W25" s="14">
        <v>0</v>
      </c>
      <c r="X25" s="14">
        <v>0</v>
      </c>
      <c r="Y25" s="14">
        <v>0</v>
      </c>
      <c r="Z25" s="14">
        <v>0</v>
      </c>
      <c r="AA25" s="8">
        <v>5000</v>
      </c>
      <c r="AB25" s="8">
        <v>5000</v>
      </c>
      <c r="AC25" s="14">
        <v>5</v>
      </c>
      <c r="AD25" s="14">
        <v>0</v>
      </c>
      <c r="AE25" s="14">
        <v>0</v>
      </c>
      <c r="AF25" s="14">
        <v>0</v>
      </c>
      <c r="AG25" s="8">
        <v>0</v>
      </c>
      <c r="AH25" s="8">
        <v>5000</v>
      </c>
      <c r="AI25" s="8">
        <v>5000</v>
      </c>
      <c r="AJ25" s="14">
        <v>5</v>
      </c>
      <c r="AK25" s="14">
        <v>0</v>
      </c>
      <c r="AL25" s="14">
        <v>0</v>
      </c>
      <c r="AM25" s="14">
        <v>0</v>
      </c>
      <c r="AN25" s="8">
        <v>0</v>
      </c>
      <c r="AO25" s="8">
        <v>5000</v>
      </c>
      <c r="AP25" s="8">
        <v>5000</v>
      </c>
      <c r="AQ25" s="14">
        <v>5</v>
      </c>
      <c r="AR25" s="14">
        <v>0</v>
      </c>
      <c r="AS25" s="14">
        <v>0</v>
      </c>
      <c r="AT25" s="14">
        <v>0</v>
      </c>
      <c r="AU25" s="8">
        <v>0</v>
      </c>
      <c r="AV25" s="8">
        <v>5000</v>
      </c>
      <c r="AW25" s="8">
        <v>5000</v>
      </c>
      <c r="AX25" s="14">
        <v>5</v>
      </c>
      <c r="AY25" s="14">
        <v>0</v>
      </c>
      <c r="AZ25" s="14">
        <v>0</v>
      </c>
      <c r="BA25" s="14">
        <v>0</v>
      </c>
      <c r="BB25" s="8">
        <v>0</v>
      </c>
      <c r="BC25" s="8">
        <v>5000</v>
      </c>
      <c r="BD25" s="8">
        <v>5000</v>
      </c>
      <c r="BE25" s="14">
        <v>5</v>
      </c>
      <c r="BF25" s="14">
        <v>0</v>
      </c>
      <c r="BG25" s="14">
        <v>0</v>
      </c>
      <c r="BH25" s="14">
        <v>0</v>
      </c>
      <c r="BI25" s="8">
        <v>0</v>
      </c>
      <c r="BJ25" s="8">
        <v>5000</v>
      </c>
      <c r="BK25" s="8">
        <v>5000</v>
      </c>
      <c r="BL25" s="14">
        <v>5</v>
      </c>
      <c r="BM25" s="14">
        <v>0</v>
      </c>
      <c r="BN25" s="14">
        <v>0</v>
      </c>
      <c r="BO25" s="8">
        <v>9000</v>
      </c>
      <c r="BP25" s="8">
        <v>9000</v>
      </c>
      <c r="BQ25" s="14">
        <v>9</v>
      </c>
      <c r="BR25" s="14">
        <v>0</v>
      </c>
      <c r="BS25" s="14">
        <v>0</v>
      </c>
      <c r="BT25" s="8">
        <v>8640</v>
      </c>
      <c r="BU25" s="8">
        <v>8442</v>
      </c>
      <c r="BV25" s="14">
        <v>9</v>
      </c>
      <c r="BW25" s="14">
        <v>0</v>
      </c>
      <c r="BX25" s="14">
        <v>0</v>
      </c>
      <c r="BY25" s="8">
        <v>8640</v>
      </c>
      <c r="BZ25" s="8">
        <v>8442</v>
      </c>
      <c r="CA25" s="14">
        <v>9</v>
      </c>
      <c r="CB25" s="14">
        <v>0</v>
      </c>
      <c r="CC25" s="14">
        <v>0</v>
      </c>
      <c r="CD25" s="8">
        <v>8640</v>
      </c>
      <c r="CE25" s="8">
        <v>8442</v>
      </c>
      <c r="CF25" s="14">
        <v>9</v>
      </c>
      <c r="CG25" s="14">
        <v>0</v>
      </c>
      <c r="CH25" s="14">
        <v>0</v>
      </c>
      <c r="CI25" s="8">
        <v>8640</v>
      </c>
      <c r="CJ25" s="8">
        <v>8442</v>
      </c>
      <c r="CK25" s="14">
        <v>9</v>
      </c>
      <c r="CL25" s="14">
        <v>0</v>
      </c>
      <c r="CM25" s="14">
        <v>0</v>
      </c>
      <c r="CN25" s="14">
        <v>0</v>
      </c>
      <c r="CO25" s="9">
        <v>73560</v>
      </c>
      <c r="CP25" s="9">
        <v>72768</v>
      </c>
      <c r="CQ25" s="14">
        <v>6.6</v>
      </c>
      <c r="CR25" s="14">
        <v>0</v>
      </c>
      <c r="CS25" s="14">
        <v>0</v>
      </c>
      <c r="CT25" s="14">
        <v>0</v>
      </c>
      <c r="CU25" s="8">
        <v>-73560</v>
      </c>
      <c r="CV25" s="8">
        <v>-72768</v>
      </c>
      <c r="CW25" s="14">
        <v>0</v>
      </c>
      <c r="CX25" s="14">
        <v>0</v>
      </c>
      <c r="CY25" s="14">
        <v>0</v>
      </c>
      <c r="CZ25" s="14">
        <v>0</v>
      </c>
      <c r="DA25" s="8">
        <v>73560</v>
      </c>
      <c r="DB25" s="8">
        <v>72768</v>
      </c>
    </row>
    <row r="26" spans="2:106" s="4" customFormat="1"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6"/>
      <c r="O26" s="6"/>
      <c r="P26" s="7"/>
      <c r="Q26" s="7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9"/>
      <c r="CP26" s="9"/>
      <c r="CQ26" s="8"/>
      <c r="CR26" s="8"/>
      <c r="CS26" s="8"/>
      <c r="CT26" s="8"/>
      <c r="CU26" s="8"/>
      <c r="CV26" s="8"/>
      <c r="CW26" s="8"/>
      <c r="CX26" s="8"/>
      <c r="CY26" s="8"/>
      <c r="CZ26" s="8"/>
      <c r="DA26" s="8"/>
      <c r="DB26" s="8"/>
    </row>
    <row r="27" spans="2:106" s="10" customFormat="1">
      <c r="B27" s="11" t="s">
        <v>105</v>
      </c>
      <c r="C27" s="11" t="s">
        <v>106</v>
      </c>
      <c r="D27" s="11" t="s">
        <v>107</v>
      </c>
      <c r="E27" s="11" t="s">
        <v>171</v>
      </c>
      <c r="F27" s="11"/>
      <c r="G27" s="11" t="s">
        <v>172</v>
      </c>
      <c r="H27" s="11">
        <v>5841813202</v>
      </c>
      <c r="I27" s="11" t="s">
        <v>109</v>
      </c>
      <c r="J27" s="11" t="s">
        <v>172</v>
      </c>
      <c r="K27" s="11" t="s">
        <v>172</v>
      </c>
      <c r="L27" s="11" t="s">
        <v>163</v>
      </c>
      <c r="M27" s="11" t="s">
        <v>112</v>
      </c>
      <c r="N27" s="12" t="s">
        <v>113</v>
      </c>
      <c r="O27" s="12"/>
      <c r="P27" s="13"/>
      <c r="Q27" s="13"/>
      <c r="R27" s="14">
        <v>0</v>
      </c>
      <c r="S27" s="14">
        <v>0</v>
      </c>
      <c r="T27" s="8">
        <f>1000*V27</f>
        <v>0</v>
      </c>
      <c r="U27" s="8">
        <f>1000*V27</f>
        <v>0</v>
      </c>
      <c r="V27" s="14">
        <v>0</v>
      </c>
      <c r="W27" s="14">
        <v>0</v>
      </c>
      <c r="X27" s="14">
        <v>0</v>
      </c>
      <c r="Y27" s="14">
        <v>0</v>
      </c>
      <c r="Z27" s="14">
        <v>0</v>
      </c>
      <c r="AA27" s="8">
        <f>1000*AC27</f>
        <v>0</v>
      </c>
      <c r="AB27" s="8">
        <f>1000*AC27</f>
        <v>0</v>
      </c>
      <c r="AC27" s="14">
        <v>0</v>
      </c>
      <c r="AD27" s="14">
        <v>0</v>
      </c>
      <c r="AE27" s="14">
        <v>0</v>
      </c>
      <c r="AF27" s="14">
        <v>0</v>
      </c>
      <c r="AG27" s="8">
        <v>0</v>
      </c>
      <c r="AH27" s="8">
        <f>1000*AJ27</f>
        <v>0</v>
      </c>
      <c r="AI27" s="8">
        <f>1000*AJ27</f>
        <v>0</v>
      </c>
      <c r="AJ27" s="14">
        <v>0</v>
      </c>
      <c r="AK27" s="14">
        <v>0</v>
      </c>
      <c r="AL27" s="14">
        <v>0</v>
      </c>
      <c r="AM27" s="14">
        <v>0</v>
      </c>
      <c r="AN27" s="8">
        <v>0</v>
      </c>
      <c r="AO27" s="8">
        <f>1000*AQ27</f>
        <v>0</v>
      </c>
      <c r="AP27" s="8">
        <f>1000*AQ27</f>
        <v>0</v>
      </c>
      <c r="AQ27" s="14">
        <v>0</v>
      </c>
      <c r="AR27" s="14">
        <v>0</v>
      </c>
      <c r="AS27" s="14">
        <v>0</v>
      </c>
      <c r="AT27" s="14">
        <v>0</v>
      </c>
      <c r="AU27" s="8">
        <v>0</v>
      </c>
      <c r="AV27" s="8">
        <f>1000*AX27</f>
        <v>0</v>
      </c>
      <c r="AW27" s="8">
        <f>1000*AX27</f>
        <v>0</v>
      </c>
      <c r="AX27" s="14">
        <v>0</v>
      </c>
      <c r="AY27" s="14">
        <v>0</v>
      </c>
      <c r="AZ27" s="14">
        <v>0</v>
      </c>
      <c r="BA27" s="14">
        <v>0</v>
      </c>
      <c r="BB27" s="8">
        <v>0</v>
      </c>
      <c r="BC27" s="8">
        <f>1000*BE27</f>
        <v>0</v>
      </c>
      <c r="BD27" s="8">
        <f>1000*BE27</f>
        <v>0</v>
      </c>
      <c r="BE27" s="14">
        <v>0</v>
      </c>
      <c r="BF27" s="14">
        <v>0</v>
      </c>
      <c r="BG27" s="14">
        <v>0</v>
      </c>
      <c r="BH27" s="14">
        <v>0</v>
      </c>
      <c r="BI27" s="8">
        <v>0</v>
      </c>
      <c r="BJ27" s="8">
        <f>1000*BL27</f>
        <v>0</v>
      </c>
      <c r="BK27" s="8">
        <f>1000*BL27</f>
        <v>0</v>
      </c>
      <c r="BL27" s="14">
        <v>0</v>
      </c>
      <c r="BM27" s="14">
        <v>0</v>
      </c>
      <c r="BN27" s="14">
        <v>0</v>
      </c>
      <c r="BO27" s="8">
        <f>1000*BQ27</f>
        <v>4000</v>
      </c>
      <c r="BP27" s="8">
        <f>1000*BQ27</f>
        <v>4000</v>
      </c>
      <c r="BQ27" s="14">
        <v>4</v>
      </c>
      <c r="BR27" s="14">
        <v>0</v>
      </c>
      <c r="BS27" s="14">
        <v>0</v>
      </c>
      <c r="BT27" s="8">
        <f>1000*BV27</f>
        <v>4000</v>
      </c>
      <c r="BU27" s="8">
        <f>1000*BV27</f>
        <v>4000</v>
      </c>
      <c r="BV27" s="14">
        <v>4</v>
      </c>
      <c r="BW27" s="14">
        <v>0</v>
      </c>
      <c r="BX27" s="14">
        <v>0</v>
      </c>
      <c r="BY27" s="8">
        <f>1000*CA27</f>
        <v>4000</v>
      </c>
      <c r="BZ27" s="8">
        <f>1000*CA27</f>
        <v>4000</v>
      </c>
      <c r="CA27" s="14">
        <v>4</v>
      </c>
      <c r="CB27" s="14">
        <v>0</v>
      </c>
      <c r="CC27" s="14">
        <v>0</v>
      </c>
      <c r="CD27" s="8">
        <f>1000*CF27</f>
        <v>4000</v>
      </c>
      <c r="CE27" s="8">
        <f>1000*CF27</f>
        <v>4000</v>
      </c>
      <c r="CF27" s="14">
        <v>4</v>
      </c>
      <c r="CG27" s="14">
        <v>0</v>
      </c>
      <c r="CH27" s="14">
        <v>0</v>
      </c>
      <c r="CI27" s="8">
        <f>1000*CK27</f>
        <v>4000</v>
      </c>
      <c r="CJ27" s="8">
        <f>1000*CK27</f>
        <v>4000</v>
      </c>
      <c r="CK27" s="14">
        <v>4</v>
      </c>
      <c r="CL27" s="14">
        <v>0</v>
      </c>
      <c r="CM27" s="14">
        <v>0</v>
      </c>
      <c r="CN27" s="14">
        <v>0</v>
      </c>
      <c r="CO27" s="9">
        <f>SUM(T27,AA27,AH27,AO27,AV27,BC27,BJ27,BO27,BT27,BY27,CD27,CI27)</f>
        <v>20000</v>
      </c>
      <c r="CP27" s="9">
        <f>SUM(U27,AB27,AI27,AP27,AW27,BD27,BK27,BP27,BU27,BZ27,CE27,CJ27)</f>
        <v>20000</v>
      </c>
      <c r="CQ27" s="14">
        <v>2</v>
      </c>
      <c r="CR27" s="14">
        <v>0</v>
      </c>
      <c r="CS27" s="14">
        <v>0</v>
      </c>
      <c r="CT27" s="14">
        <v>0</v>
      </c>
      <c r="CU27" s="8">
        <f>CS27-CO27</f>
        <v>-20000</v>
      </c>
      <c r="CV27" s="8">
        <f>CT27-CP27</f>
        <v>-20000</v>
      </c>
      <c r="CW27" s="14">
        <v>0</v>
      </c>
      <c r="CX27" s="14">
        <v>0</v>
      </c>
      <c r="CY27" s="14">
        <v>0</v>
      </c>
      <c r="CZ27" s="14">
        <v>0</v>
      </c>
      <c r="DA27" s="8">
        <f>CO27</f>
        <v>20000</v>
      </c>
      <c r="DB27" s="8">
        <f>CP27</f>
        <v>20000</v>
      </c>
    </row>
    <row r="28" spans="2:106" s="4" customFormat="1">
      <c r="B28" s="5"/>
      <c r="C28" s="5" t="s">
        <v>173</v>
      </c>
      <c r="D28" s="5"/>
      <c r="E28" s="5"/>
      <c r="F28" s="5"/>
      <c r="G28" s="5"/>
      <c r="H28" s="5"/>
      <c r="I28" s="5"/>
      <c r="J28" s="5"/>
      <c r="K28" s="5"/>
      <c r="L28" s="5"/>
      <c r="M28" s="5"/>
      <c r="N28" s="6"/>
      <c r="O28" s="6"/>
      <c r="P28" s="7"/>
      <c r="Q28" s="7"/>
      <c r="R28" s="8"/>
      <c r="S28" s="8"/>
      <c r="T28" s="8">
        <v>0</v>
      </c>
      <c r="U28" s="8">
        <v>0</v>
      </c>
      <c r="V28" s="8">
        <v>0</v>
      </c>
      <c r="W28" s="8">
        <v>0</v>
      </c>
      <c r="X28" s="8">
        <v>0</v>
      </c>
      <c r="Y28" s="8">
        <v>0</v>
      </c>
      <c r="Z28" s="8">
        <v>0</v>
      </c>
      <c r="AA28" s="8">
        <v>0</v>
      </c>
      <c r="AB28" s="8">
        <v>0</v>
      </c>
      <c r="AC28" s="8">
        <v>0</v>
      </c>
      <c r="AD28" s="8">
        <v>0</v>
      </c>
      <c r="AE28" s="8">
        <v>0</v>
      </c>
      <c r="AF28" s="8">
        <v>0</v>
      </c>
      <c r="AG28" s="8">
        <v>0</v>
      </c>
      <c r="AH28" s="8">
        <v>0</v>
      </c>
      <c r="AI28" s="8">
        <v>0</v>
      </c>
      <c r="AJ28" s="8">
        <v>0</v>
      </c>
      <c r="AK28" s="8">
        <v>0</v>
      </c>
      <c r="AL28" s="8">
        <v>0</v>
      </c>
      <c r="AM28" s="8">
        <v>0</v>
      </c>
      <c r="AN28" s="8">
        <v>0</v>
      </c>
      <c r="AO28" s="8">
        <v>0</v>
      </c>
      <c r="AP28" s="8">
        <v>0</v>
      </c>
      <c r="AQ28" s="8">
        <v>0</v>
      </c>
      <c r="AR28" s="8">
        <v>0</v>
      </c>
      <c r="AS28" s="8">
        <v>0</v>
      </c>
      <c r="AT28" s="8">
        <v>0</v>
      </c>
      <c r="AU28" s="8">
        <v>0</v>
      </c>
      <c r="AV28" s="8">
        <v>0</v>
      </c>
      <c r="AW28" s="8">
        <v>0</v>
      </c>
      <c r="AX28" s="8">
        <v>0</v>
      </c>
      <c r="AY28" s="8">
        <v>0</v>
      </c>
      <c r="AZ28" s="8">
        <v>0</v>
      </c>
      <c r="BA28" s="8">
        <v>0</v>
      </c>
      <c r="BB28" s="8">
        <v>0</v>
      </c>
      <c r="BC28" s="8">
        <v>0</v>
      </c>
      <c r="BD28" s="8">
        <v>0</v>
      </c>
      <c r="BE28" s="8">
        <v>0</v>
      </c>
      <c r="BF28" s="8">
        <v>0</v>
      </c>
      <c r="BG28" s="8">
        <v>0</v>
      </c>
      <c r="BH28" s="8">
        <v>0</v>
      </c>
      <c r="BI28" s="8">
        <v>0</v>
      </c>
      <c r="BJ28" s="8">
        <v>0</v>
      </c>
      <c r="BK28" s="8">
        <v>0</v>
      </c>
      <c r="BL28" s="8">
        <v>0</v>
      </c>
      <c r="BM28" s="8">
        <v>0</v>
      </c>
      <c r="BN28" s="8">
        <v>0</v>
      </c>
      <c r="BO28" s="8">
        <v>4000</v>
      </c>
      <c r="BP28" s="8">
        <v>4000</v>
      </c>
      <c r="BQ28" s="8">
        <v>4</v>
      </c>
      <c r="BR28" s="8">
        <v>0</v>
      </c>
      <c r="BS28" s="8">
        <v>0</v>
      </c>
      <c r="BT28" s="8">
        <v>3840</v>
      </c>
      <c r="BU28" s="8">
        <v>3752</v>
      </c>
      <c r="BV28" s="8">
        <v>4</v>
      </c>
      <c r="BW28" s="8">
        <v>0</v>
      </c>
      <c r="BX28" s="8">
        <v>0</v>
      </c>
      <c r="BY28" s="8">
        <v>3840</v>
      </c>
      <c r="BZ28" s="8">
        <v>3752</v>
      </c>
      <c r="CA28" s="8">
        <v>4</v>
      </c>
      <c r="CB28" s="8">
        <v>0</v>
      </c>
      <c r="CC28" s="8">
        <v>0</v>
      </c>
      <c r="CD28" s="8">
        <v>3840</v>
      </c>
      <c r="CE28" s="8">
        <v>3752</v>
      </c>
      <c r="CF28" s="8">
        <v>4</v>
      </c>
      <c r="CG28" s="8">
        <v>0</v>
      </c>
      <c r="CH28" s="8">
        <v>0</v>
      </c>
      <c r="CI28" s="8">
        <v>3840</v>
      </c>
      <c r="CJ28" s="8">
        <v>3752</v>
      </c>
      <c r="CK28" s="8">
        <v>4</v>
      </c>
      <c r="CL28" s="8">
        <v>0</v>
      </c>
      <c r="CM28" s="8">
        <v>0</v>
      </c>
      <c r="CN28" s="8">
        <v>0</v>
      </c>
      <c r="CO28" s="9">
        <v>19360</v>
      </c>
      <c r="CP28" s="9">
        <v>19008</v>
      </c>
      <c r="CQ28" s="8">
        <v>2</v>
      </c>
      <c r="CR28" s="8">
        <v>0</v>
      </c>
      <c r="CS28" s="8">
        <v>0</v>
      </c>
      <c r="CT28" s="8">
        <v>0</v>
      </c>
      <c r="CU28" s="8">
        <v>-19360</v>
      </c>
      <c r="CV28" s="8">
        <v>-19008</v>
      </c>
      <c r="CW28" s="8">
        <v>0</v>
      </c>
      <c r="CX28" s="8">
        <v>0</v>
      </c>
      <c r="CY28" s="8">
        <v>0</v>
      </c>
      <c r="CZ28" s="8">
        <v>0</v>
      </c>
      <c r="DA28" s="8">
        <v>19360</v>
      </c>
      <c r="DB28" s="8">
        <v>19008</v>
      </c>
    </row>
    <row r="29" spans="2:106">
      <c r="T29" s="19"/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  <c r="AH29" s="19"/>
      <c r="AI29" s="19"/>
      <c r="AJ29" s="19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  <c r="BJ29" s="19"/>
      <c r="BK29" s="19"/>
      <c r="BL29" s="19"/>
      <c r="BM29" s="19"/>
      <c r="BN29" s="19"/>
      <c r="BO29" s="19"/>
      <c r="BP29" s="19"/>
      <c r="BQ29" s="19"/>
      <c r="BR29" s="19"/>
      <c r="BS29" s="19"/>
      <c r="BT29" s="19"/>
      <c r="BU29" s="19"/>
      <c r="BV29" s="19"/>
      <c r="BW29" s="19"/>
      <c r="BX29" s="19"/>
      <c r="BY29" s="19"/>
      <c r="BZ29" s="19"/>
      <c r="CA29" s="19"/>
      <c r="CB29" s="19"/>
      <c r="CC29" s="19"/>
      <c r="CD29" s="19"/>
      <c r="CE29" s="19"/>
      <c r="CF29" s="19"/>
      <c r="CG29" s="19"/>
      <c r="CH29" s="19"/>
      <c r="CI29" s="19"/>
      <c r="CJ29" s="19"/>
      <c r="CK29" s="19"/>
      <c r="CL29" s="19"/>
      <c r="CM29" s="19"/>
      <c r="CN29" s="19"/>
      <c r="CO29" s="19"/>
      <c r="CP29" s="19"/>
      <c r="CQ29" s="19"/>
      <c r="CR29" s="19"/>
      <c r="CS29" s="19"/>
      <c r="CT29" s="19"/>
      <c r="CU29" s="19"/>
      <c r="CV29" s="19"/>
      <c r="CW29" s="19"/>
      <c r="CX29" s="19"/>
      <c r="CY29" s="19"/>
      <c r="CZ29" s="19"/>
      <c r="DA29" s="19"/>
      <c r="DB29" s="19"/>
    </row>
    <row r="30" spans="2:106" s="4" customFormat="1"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6"/>
      <c r="O30" s="6"/>
      <c r="P30" s="7"/>
      <c r="Q30" s="7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8"/>
      <c r="BO30" s="8"/>
      <c r="BP30" s="8"/>
      <c r="BQ30" s="8"/>
      <c r="BR30" s="8"/>
      <c r="BS30" s="8"/>
      <c r="BT30" s="8"/>
      <c r="BU30" s="8"/>
      <c r="BV30" s="8"/>
      <c r="BW30" s="8"/>
      <c r="BX30" s="8"/>
      <c r="BY30" s="8"/>
      <c r="BZ30" s="8"/>
      <c r="CA30" s="8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9"/>
      <c r="CP30" s="9"/>
      <c r="CQ30" s="8"/>
      <c r="CR30" s="8"/>
      <c r="CS30" s="8"/>
      <c r="CT30" s="8"/>
      <c r="CU30" s="8"/>
      <c r="CV30" s="8"/>
      <c r="CW30" s="8"/>
      <c r="CX30" s="8"/>
      <c r="CY30" s="8"/>
      <c r="CZ30" s="8"/>
      <c r="DA30" s="8"/>
      <c r="DB30" s="8"/>
    </row>
    <row r="31" spans="2:106">
      <c r="T31" s="19"/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BJ31" s="19"/>
      <c r="BK31" s="19"/>
      <c r="BL31" s="19"/>
      <c r="BM31" s="19"/>
      <c r="BN31" s="19"/>
      <c r="BO31" s="19"/>
      <c r="BP31" s="19"/>
      <c r="BQ31" s="19"/>
      <c r="BR31" s="19"/>
      <c r="BS31" s="19"/>
      <c r="BT31" s="19"/>
      <c r="BU31" s="19"/>
      <c r="BV31" s="19"/>
      <c r="BW31" s="19"/>
      <c r="BX31" s="19"/>
      <c r="BY31" s="19"/>
      <c r="BZ31" s="19"/>
      <c r="CA31" s="19"/>
      <c r="CB31" s="19"/>
      <c r="CC31" s="19"/>
      <c r="CD31" s="19"/>
      <c r="CE31" s="19"/>
      <c r="CF31" s="19"/>
      <c r="CG31" s="19"/>
      <c r="CH31" s="19"/>
      <c r="CI31" s="19"/>
      <c r="CJ31" s="19"/>
      <c r="CK31" s="19"/>
      <c r="CL31" s="19"/>
      <c r="CM31" s="19"/>
      <c r="CN31" s="19"/>
      <c r="CO31" s="19"/>
      <c r="CP31" s="19"/>
      <c r="CQ31" s="19"/>
      <c r="CR31" s="19"/>
      <c r="CS31" s="19"/>
      <c r="CT31" s="19"/>
      <c r="CU31" s="19"/>
      <c r="CV31" s="19"/>
      <c r="CW31" s="19"/>
      <c r="CX31" s="19"/>
      <c r="CY31" s="19"/>
      <c r="CZ31" s="19"/>
      <c r="DA31" s="19"/>
      <c r="DB31" s="19"/>
    </row>
    <row r="33" spans="72:88">
      <c r="BT33" s="20"/>
      <c r="BU33" s="21"/>
      <c r="BY33" s="20"/>
      <c r="BZ33" s="21"/>
      <c r="CD33" s="20"/>
      <c r="CE33" s="21"/>
      <c r="CI33" s="20"/>
      <c r="CJ33" s="21"/>
    </row>
  </sheetData>
  <phoneticPr fontId="24" type="noConversion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LE（系统导出）</vt:lpstr>
      <vt:lpstr>CostCenterGroupBySumResult</vt:lpstr>
      <vt:lpstr>LE（手动调整）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Feng, Tracy</dc:creator>
  <cp:lastModifiedBy>kailing shen</cp:lastModifiedBy>
  <dcterms:created xsi:type="dcterms:W3CDTF">2026-04-07T03:30:15Z</dcterms:created>
  <dcterms:modified xsi:type="dcterms:W3CDTF">2026-04-21T05:18:08Z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1f34ead-50a3-4950-8a39-fca3a33c48cb_Enabled">
    <vt:lpwstr>true</vt:lpwstr>
  </property>
  <property fmtid="{D5CDD505-2E9C-101B-9397-08002B2CF9AE}" pid="3" name="MSIP_Label_b1f34ead-50a3-4950-8a39-fca3a33c48cb_SetDate">
    <vt:lpwstr>2026-04-07T03:59:54Z</vt:lpwstr>
  </property>
  <property fmtid="{D5CDD505-2E9C-101B-9397-08002B2CF9AE}" pid="4" name="MSIP_Label_b1f34ead-50a3-4950-8a39-fca3a33c48cb_Method">
    <vt:lpwstr>Standard</vt:lpwstr>
  </property>
  <property fmtid="{D5CDD505-2E9C-101B-9397-08002B2CF9AE}" pid="5" name="MSIP_Label_b1f34ead-50a3-4950-8a39-fca3a33c48cb_Name">
    <vt:lpwstr>Confidential</vt:lpwstr>
  </property>
  <property fmtid="{D5CDD505-2E9C-101B-9397-08002B2CF9AE}" pid="6" name="MSIP_Label_b1f34ead-50a3-4950-8a39-fca3a33c48cb_SiteId">
    <vt:lpwstr>0c5638da-d686-4d6a-8df4-e0552c70cb17</vt:lpwstr>
  </property>
  <property fmtid="{D5CDD505-2E9C-101B-9397-08002B2CF9AE}" pid="7" name="MSIP_Label_b1f34ead-50a3-4950-8a39-fca3a33c48cb_ActionId">
    <vt:lpwstr>2907d269-27b2-4b78-ab35-fb9a78644b94</vt:lpwstr>
  </property>
  <property fmtid="{D5CDD505-2E9C-101B-9397-08002B2CF9AE}" pid="8" name="MSIP_Label_b1f34ead-50a3-4950-8a39-fca3a33c48cb_ContentBits">
    <vt:lpwstr>0</vt:lpwstr>
  </property>
  <property fmtid="{D5CDD505-2E9C-101B-9397-08002B2CF9AE}" pid="9" name="MSIP_Label_b1f34ead-50a3-4950-8a39-fca3a33c48cb_Tag">
    <vt:lpwstr>10, 3, 0, 1</vt:lpwstr>
  </property>
</Properties>
</file>
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F6089705-E76B-439E-97FB-E1D92E7F007F}" xr6:coauthVersionLast="47" xr6:coauthVersionMax="47" xr10:uidLastSave="{00000000-0000-0000-0000-000000000000}"/>
  <bookViews>
    <workbookView xWindow="-110" yWindow="-110" windowWidth="25820" windowHeight="15620" activeTab="1" xr2:uid="{D525BBAD-DFFD-43A3-BB40-A07C19856506}"/>
  </bookViews>
  <sheets>
    <sheet name="LE（系统导出）" sheetId="1" r:id="rId1"/>
    <sheet name="LE（手动调整）" sheetId="2" r:id="rId2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22" i="1" l="1"/>
  <c r="CJ22" i="1"/>
  <c r="CF22" i="1"/>
  <c r="CE22" i="1"/>
  <c r="CA22" i="1"/>
  <c r="BZ22" i="1"/>
  <c r="BV22" i="1"/>
  <c r="BU22" i="1"/>
  <c r="BQ22" i="1"/>
  <c r="BP22" i="1"/>
  <c r="BL22" i="1"/>
  <c r="BK22" i="1"/>
  <c r="BE22" i="1"/>
  <c r="BD22" i="1"/>
  <c r="AX22" i="1"/>
  <c r="AW22" i="1"/>
  <c r="AQ22" i="1"/>
  <c r="AP22" i="1"/>
  <c r="AJ22" i="1"/>
  <c r="AI22" i="1"/>
  <c r="AC22" i="1"/>
  <c r="AB22" i="1"/>
  <c r="V22" i="1"/>
  <c r="CQ22" i="1" s="1"/>
  <c r="U22" i="1"/>
  <c r="CP22" i="1" s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U25" i="1"/>
  <c r="CP25" i="1" s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P27" i="1" s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DB30" i="1"/>
  <c r="DC30" i="1"/>
  <c r="CQ31" i="1"/>
  <c r="DC31" i="1" s="1"/>
  <c r="CP31" i="1"/>
  <c r="DB31" i="1" s="1"/>
  <c r="CK31" i="1"/>
  <c r="CJ31" i="1"/>
  <c r="CK26" i="1"/>
  <c r="CJ26" i="1"/>
  <c r="CK24" i="1"/>
  <c r="CJ24" i="1"/>
  <c r="CK23" i="1"/>
  <c r="CJ23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31" i="1"/>
  <c r="CE31" i="1"/>
  <c r="CF26" i="1"/>
  <c r="CE26" i="1"/>
  <c r="CF24" i="1"/>
  <c r="CE24" i="1"/>
  <c r="CF23" i="1"/>
  <c r="CE23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31" i="1"/>
  <c r="BZ31" i="1"/>
  <c r="CA26" i="1"/>
  <c r="BZ26" i="1"/>
  <c r="CA24" i="1"/>
  <c r="BZ24" i="1"/>
  <c r="CA23" i="1"/>
  <c r="BZ23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31" i="1"/>
  <c r="BU31" i="1"/>
  <c r="BV26" i="1"/>
  <c r="BU26" i="1"/>
  <c r="BV24" i="1"/>
  <c r="BU24" i="1"/>
  <c r="BV23" i="1"/>
  <c r="BU23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31" i="1"/>
  <c r="BP31" i="1"/>
  <c r="BQ26" i="1"/>
  <c r="BP26" i="1"/>
  <c r="BQ24" i="1"/>
  <c r="BP24" i="1"/>
  <c r="BQ23" i="1"/>
  <c r="BP23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31" i="1"/>
  <c r="BK31" i="1"/>
  <c r="BL26" i="1"/>
  <c r="BK26" i="1"/>
  <c r="BL24" i="1"/>
  <c r="BK24" i="1"/>
  <c r="BL23" i="1"/>
  <c r="BK23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31" i="1"/>
  <c r="BD31" i="1"/>
  <c r="BE26" i="1"/>
  <c r="BD26" i="1"/>
  <c r="BE24" i="1"/>
  <c r="BD24" i="1"/>
  <c r="BE23" i="1"/>
  <c r="BD23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6" i="1"/>
  <c r="AW26" i="1"/>
  <c r="AX24" i="1"/>
  <c r="AW24" i="1"/>
  <c r="AX23" i="1"/>
  <c r="AW23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3" i="1"/>
  <c r="AQ23" i="1"/>
  <c r="AP24" i="1"/>
  <c r="AQ24" i="1"/>
  <c r="AP26" i="1"/>
  <c r="AQ26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3" i="1"/>
  <c r="AJ23" i="1"/>
  <c r="AI24" i="1"/>
  <c r="AJ24" i="1"/>
  <c r="AI26" i="1"/>
  <c r="AJ26" i="1"/>
  <c r="AJ3" i="1"/>
  <c r="AI3" i="1"/>
  <c r="AX31" i="1"/>
  <c r="AW31" i="1"/>
  <c r="AQ31" i="1"/>
  <c r="AP31" i="1"/>
  <c r="AJ31" i="1"/>
  <c r="AI31" i="1"/>
  <c r="AC31" i="1"/>
  <c r="AB31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3" i="1"/>
  <c r="AC23" i="1"/>
  <c r="AB24" i="1"/>
  <c r="AC24" i="1"/>
  <c r="AB26" i="1"/>
  <c r="AC26" i="1"/>
  <c r="AC3" i="1"/>
  <c r="AB3" i="1"/>
  <c r="V31" i="1"/>
  <c r="U31" i="1"/>
  <c r="U4" i="1"/>
  <c r="V4" i="1"/>
  <c r="U5" i="1"/>
  <c r="V5" i="1"/>
  <c r="U6" i="1"/>
  <c r="V6" i="1"/>
  <c r="U7" i="1"/>
  <c r="V7" i="1"/>
  <c r="CQ7" i="1" s="1"/>
  <c r="U8" i="1"/>
  <c r="V8" i="1"/>
  <c r="U9" i="1"/>
  <c r="V9" i="1"/>
  <c r="U10" i="1"/>
  <c r="V10" i="1"/>
  <c r="U11" i="1"/>
  <c r="V11" i="1"/>
  <c r="CQ11" i="1" s="1"/>
  <c r="U12" i="1"/>
  <c r="V12" i="1"/>
  <c r="U13" i="1"/>
  <c r="V13" i="1"/>
  <c r="U14" i="1"/>
  <c r="V14" i="1"/>
  <c r="U15" i="1"/>
  <c r="V15" i="1"/>
  <c r="CQ15" i="1" s="1"/>
  <c r="U16" i="1"/>
  <c r="V16" i="1"/>
  <c r="U17" i="1"/>
  <c r="V17" i="1"/>
  <c r="U18" i="1"/>
  <c r="V18" i="1"/>
  <c r="U19" i="1"/>
  <c r="V19" i="1"/>
  <c r="CQ19" i="1" s="1"/>
  <c r="U20" i="1"/>
  <c r="V20" i="1"/>
  <c r="U21" i="1"/>
  <c r="V21" i="1"/>
  <c r="U23" i="1"/>
  <c r="V23" i="1"/>
  <c r="U24" i="1"/>
  <c r="V24" i="1"/>
  <c r="CQ24" i="1" s="1"/>
  <c r="U26" i="1"/>
  <c r="V26" i="1"/>
  <c r="V3" i="1"/>
  <c r="U3" i="1"/>
  <c r="DC22" i="1" l="1"/>
  <c r="CW22" i="1"/>
  <c r="DB22" i="1"/>
  <c r="CV22" i="1"/>
  <c r="CQ25" i="1"/>
  <c r="CQ26" i="1"/>
  <c r="CQ16" i="1"/>
  <c r="CQ8" i="1"/>
  <c r="CQ20" i="1"/>
  <c r="CW20" i="1" s="1"/>
  <c r="CQ12" i="1"/>
  <c r="CW12" i="1" s="1"/>
  <c r="DC25" i="1"/>
  <c r="CW25" i="1"/>
  <c r="DB25" i="1"/>
  <c r="CV25" i="1"/>
  <c r="CP24" i="1"/>
  <c r="CP19" i="1"/>
  <c r="DB19" i="1" s="1"/>
  <c r="CP15" i="1"/>
  <c r="DB15" i="1" s="1"/>
  <c r="CP11" i="1"/>
  <c r="CQ27" i="1"/>
  <c r="DC27" i="1" s="1"/>
  <c r="CQ23" i="1"/>
  <c r="CW23" i="1" s="1"/>
  <c r="CQ18" i="1"/>
  <c r="DC18" i="1" s="1"/>
  <c r="CQ14" i="1"/>
  <c r="CW14" i="1" s="1"/>
  <c r="CQ10" i="1"/>
  <c r="CW10" i="1" s="1"/>
  <c r="CQ6" i="1"/>
  <c r="DC6" i="1" s="1"/>
  <c r="CP23" i="1"/>
  <c r="DB23" i="1" s="1"/>
  <c r="CP18" i="1"/>
  <c r="CP14" i="1"/>
  <c r="DB14" i="1" s="1"/>
  <c r="CP10" i="1"/>
  <c r="DB10" i="1" s="1"/>
  <c r="CP6" i="1"/>
  <c r="DB6" i="1" s="1"/>
  <c r="CQ21" i="1"/>
  <c r="DC21" i="1" s="1"/>
  <c r="CQ5" i="1"/>
  <c r="CW5" i="1" s="1"/>
  <c r="CQ17" i="1"/>
  <c r="CQ13" i="1"/>
  <c r="CW13" i="1" s="1"/>
  <c r="CQ9" i="1"/>
  <c r="DC9" i="1" s="1"/>
  <c r="CP21" i="1"/>
  <c r="DB21" i="1" s="1"/>
  <c r="CP17" i="1"/>
  <c r="DB17" i="1" s="1"/>
  <c r="CP13" i="1"/>
  <c r="CP9" i="1"/>
  <c r="DB9" i="1" s="1"/>
  <c r="CP5" i="1"/>
  <c r="CV5" i="1" s="1"/>
  <c r="CQ4" i="1"/>
  <c r="CP26" i="1"/>
  <c r="DB26" i="1" s="1"/>
  <c r="CP20" i="1"/>
  <c r="CP16" i="1"/>
  <c r="CP12" i="1"/>
  <c r="DB12" i="1" s="1"/>
  <c r="CP8" i="1"/>
  <c r="DB8" i="1" s="1"/>
  <c r="CP4" i="1"/>
  <c r="DB4" i="1" s="1"/>
  <c r="AP28" i="1"/>
  <c r="AP29" i="1" s="1"/>
  <c r="DB27" i="1"/>
  <c r="CV27" i="1"/>
  <c r="CW27" i="1"/>
  <c r="CP7" i="1"/>
  <c r="DB7" i="1" s="1"/>
  <c r="BK28" i="1"/>
  <c r="BK33" i="1" s="1"/>
  <c r="BK34" i="1" s="1"/>
  <c r="CE28" i="1"/>
  <c r="CE33" i="1" s="1"/>
  <c r="CE34" i="1" s="1"/>
  <c r="AB28" i="1"/>
  <c r="AB29" i="1" s="1"/>
  <c r="BL28" i="1"/>
  <c r="BL29" i="1" s="1"/>
  <c r="CF28" i="1"/>
  <c r="CF29" i="1" s="1"/>
  <c r="AC28" i="1"/>
  <c r="AC29" i="1" s="1"/>
  <c r="BD28" i="1"/>
  <c r="BD32" i="1" s="1"/>
  <c r="BE28" i="1"/>
  <c r="BE29" i="1" s="1"/>
  <c r="CA28" i="1"/>
  <c r="CA32" i="1" s="1"/>
  <c r="BU28" i="1"/>
  <c r="BU29" i="1" s="1"/>
  <c r="BV28" i="1"/>
  <c r="BV32" i="1" s="1"/>
  <c r="BP28" i="1"/>
  <c r="BP29" i="1" s="1"/>
  <c r="CJ28" i="1"/>
  <c r="CJ32" i="1" s="1"/>
  <c r="AX28" i="1"/>
  <c r="AX29" i="1" s="1"/>
  <c r="BQ28" i="1"/>
  <c r="BQ29" i="1" s="1"/>
  <c r="CK28" i="1"/>
  <c r="CK29" i="1" s="1"/>
  <c r="BZ28" i="1"/>
  <c r="BZ29" i="1" s="1"/>
  <c r="AW28" i="1"/>
  <c r="AW32" i="1" s="1"/>
  <c r="AQ28" i="1"/>
  <c r="AQ29" i="1" s="1"/>
  <c r="AJ28" i="1"/>
  <c r="AJ29" i="1" s="1"/>
  <c r="DC4" i="1"/>
  <c r="CW4" i="1"/>
  <c r="DB5" i="1"/>
  <c r="DC5" i="1"/>
  <c r="CW7" i="1"/>
  <c r="DC7" i="1"/>
  <c r="CW8" i="1"/>
  <c r="DC8" i="1"/>
  <c r="CV9" i="1"/>
  <c r="DC10" i="1"/>
  <c r="CV11" i="1"/>
  <c r="DB11" i="1"/>
  <c r="DC11" i="1"/>
  <c r="CW11" i="1"/>
  <c r="DB13" i="1"/>
  <c r="CV13" i="1"/>
  <c r="DC13" i="1"/>
  <c r="DC15" i="1"/>
  <c r="CW15" i="1"/>
  <c r="DB16" i="1"/>
  <c r="CV16" i="1"/>
  <c r="DC16" i="1"/>
  <c r="CW16" i="1"/>
  <c r="DC17" i="1"/>
  <c r="CW17" i="1"/>
  <c r="DB18" i="1"/>
  <c r="CV18" i="1"/>
  <c r="CW18" i="1"/>
  <c r="DC19" i="1"/>
  <c r="CW19" i="1"/>
  <c r="DB20" i="1"/>
  <c r="CV20" i="1"/>
  <c r="DC20" i="1"/>
  <c r="DB24" i="1"/>
  <c r="CV24" i="1"/>
  <c r="DC24" i="1"/>
  <c r="CW24" i="1"/>
  <c r="DC26" i="1"/>
  <c r="CW26" i="1"/>
  <c r="CQ3" i="1"/>
  <c r="V28" i="1"/>
  <c r="CP3" i="1"/>
  <c r="U28" i="1"/>
  <c r="U32" i="1" s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J29" i="1"/>
  <c r="CF32" i="1"/>
  <c r="BZ33" i="1"/>
  <c r="BZ34" i="1" s="1"/>
  <c r="BL33" i="1"/>
  <c r="BL34" i="1" s="1"/>
  <c r="BD29" i="1"/>
  <c r="AI28" i="1"/>
  <c r="AI29" i="1" s="1"/>
  <c r="AP32" i="1"/>
  <c r="BD33" i="1" l="1"/>
  <c r="BD34" i="1" s="1"/>
  <c r="BL32" i="1"/>
  <c r="AP33" i="1"/>
  <c r="AP34" i="1" s="1"/>
  <c r="BV33" i="1"/>
  <c r="BV34" i="1" s="1"/>
  <c r="DC12" i="1"/>
  <c r="CV17" i="1"/>
  <c r="CV19" i="1"/>
  <c r="CV7" i="1"/>
  <c r="DC23" i="1"/>
  <c r="CV15" i="1"/>
  <c r="CV10" i="1"/>
  <c r="AJ32" i="1"/>
  <c r="BQ33" i="1"/>
  <c r="BQ34" i="1" s="1"/>
  <c r="CV21" i="1"/>
  <c r="CV12" i="1"/>
  <c r="BQ32" i="1"/>
  <c r="CV14" i="1"/>
  <c r="CW9" i="1"/>
  <c r="CW6" i="1"/>
  <c r="AC33" i="1"/>
  <c r="AC34" i="1" s="1"/>
  <c r="BZ32" i="1"/>
  <c r="BK29" i="1"/>
  <c r="BE32" i="1"/>
  <c r="CK32" i="1"/>
  <c r="DC14" i="1"/>
  <c r="CV6" i="1"/>
  <c r="CV4" i="1"/>
  <c r="CF33" i="1"/>
  <c r="CF34" i="1" s="1"/>
  <c r="CV26" i="1"/>
  <c r="CV23" i="1"/>
  <c r="CV8" i="1"/>
  <c r="BK32" i="1"/>
  <c r="AQ32" i="1"/>
  <c r="BU32" i="1"/>
  <c r="CE29" i="1"/>
  <c r="AB33" i="1"/>
  <c r="AB34" i="1" s="1"/>
  <c r="CW21" i="1"/>
  <c r="AW29" i="1"/>
  <c r="AB32" i="1"/>
  <c r="BV29" i="1"/>
  <c r="CJ33" i="1"/>
  <c r="CJ34" i="1" s="1"/>
  <c r="AX33" i="1"/>
  <c r="AX34" i="1" s="1"/>
  <c r="AC32" i="1"/>
  <c r="AW33" i="1"/>
  <c r="AW34" i="1" s="1"/>
  <c r="CE32" i="1"/>
  <c r="CK33" i="1"/>
  <c r="CK34" i="1" s="1"/>
  <c r="BU33" i="1"/>
  <c r="BU34" i="1" s="1"/>
  <c r="AX32" i="1"/>
  <c r="BE33" i="1"/>
  <c r="BE34" i="1" s="1"/>
  <c r="BP33" i="1"/>
  <c r="BP34" i="1" s="1"/>
  <c r="BP32" i="1"/>
  <c r="CA33" i="1"/>
  <c r="CA34" i="1" s="1"/>
  <c r="CA29" i="1"/>
  <c r="AJ33" i="1"/>
  <c r="AJ34" i="1" s="1"/>
  <c r="AQ33" i="1"/>
  <c r="AQ34" i="1" s="1"/>
  <c r="DC3" i="1"/>
  <c r="CW3" i="1"/>
  <c r="V32" i="1"/>
  <c r="V33" i="1"/>
  <c r="V34" i="1" s="1"/>
  <c r="V29" i="1"/>
  <c r="CQ28" i="1"/>
  <c r="DB3" i="1"/>
  <c r="CV3" i="1"/>
  <c r="U33" i="1"/>
  <c r="U34" i="1" s="1"/>
  <c r="U29" i="1"/>
  <c r="CP28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  <c r="AI33" i="1"/>
  <c r="AI34" i="1" s="1"/>
  <c r="AI32" i="1"/>
  <c r="CQ32" i="1" l="1"/>
  <c r="DC32" i="1" s="1"/>
  <c r="CQ29" i="1"/>
  <c r="DC29" i="1" s="1"/>
  <c r="CQ33" i="1"/>
  <c r="DC28" i="1"/>
  <c r="CW28" i="1"/>
  <c r="CW29" i="1" s="1"/>
  <c r="CP32" i="1"/>
  <c r="DB32" i="1" s="1"/>
  <c r="CP29" i="1"/>
  <c r="DB29" i="1" s="1"/>
  <c r="CP33" i="1"/>
  <c r="DB28" i="1"/>
  <c r="CV28" i="1"/>
  <c r="CV29" i="1" s="1"/>
  <c r="DC33" i="1" l="1"/>
  <c r="CQ34" i="1"/>
  <c r="DC34" i="1" s="1"/>
  <c r="DB33" i="1"/>
  <c r="CP34" i="1"/>
  <c r="DB34" i="1" s="1"/>
</calcChain>
</file>

<file path=xl/sharedStrings.xml><?xml version="1.0" encoding="utf-8"?>
<sst xmlns="http://schemas.openxmlformats.org/spreadsheetml/2006/main" count="776" uniqueCount="202">
  <si>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</si>
  <si>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</si>
  <si>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</si>
  <si>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</si>
  <si>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</si>
  <si>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</si>
  <si>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</si>
  <si>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</si>
  <si>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</si>
  <si>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</si>
  <si>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</si>
  <si>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</si>
  <si>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</si>
  <si>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</si>
  <si>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</si>
  <si>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</si>
  <si>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</si>
  <si>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</si>
  <si>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</si>
  <si>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</si>
  <si>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</si>
  <si>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</si>
  <si>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</si>
  <si>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</si>
  <si>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</si>
  <si>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</si>
  <si>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</si>
  <si>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</si>
  <si>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</si>
  <si>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</si>
  <si>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</si>
  <si>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</si>
  <si>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</si>
  <si>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</si>
  <si>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</si>
  <si>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</si>
  <si>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</si>
  <si>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</si>
  <si>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</si>
  <si>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</si>
  <si>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</si>
  <si>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</si>
  <si>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</si>
  <si>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</si>
  <si>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</si>
  <si>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</si>
  <si>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</si>
  <si>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</si>
  <si>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</si>
  <si>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</si>
  <si>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</si>
  <si>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</si>
  <si>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</si>
  <si>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</si>
  <si>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</si>
  <si>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</si>
  <si>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</si>
  <si>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</si>
  <si>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</si>
  <si>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</si>
  <si>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</si>
  <si>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</si>
  <si>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</si>
  <si>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</si>
  <si>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</si>
  <si>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</si>
  <si>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</si>
  <si>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</si>
  <si>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</si>
  <si>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</si>
  <si>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</si>
  <si>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</si>
  <si>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</si>
  <si>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</si>
  <si>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</si>
  <si>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</si>
  <si>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</si>
  <si>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</si>
  <si>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</si>
  <si>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</si>
  <si>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</si>
  <si>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</si>
  <si>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</si>
  <si>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</si>
  <si>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</si>
  <si>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</si>
  <si>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</si>
  <si>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</si>
  <si>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</si>
  <si>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</si>
  <si>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</si>
  <si>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</si>
  <si>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</si>
  <si>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</si>
  <si>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</si>
  <si>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</si>
  <si>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</si>
  <si>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</si>
  <si>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</si>
  <si>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</si>
  <si>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</si>
  <si>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</si>
  <si>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</si>
  <si>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</si>
  <si>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</si>
  <si>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</si>
  <si>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</si>
  <si>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</si>
  <si>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</si>
  <si>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</si>
  <si>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</si>
  <si>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</si>
  <si>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</si>
  <si>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</si>
  <si>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</si>
  <si>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</si>
  <si>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</si>
  <si>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</si>
  <si>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</si>
  <si>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</si>
  <si>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</si>
  <si>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</si>
  <si>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</si>
  <si>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</si>
  <si>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</si>
  <si>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</si>
  <si>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</si>
  <si>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</si>
  <si>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</si>
  <si>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</si>
  <si>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</si>
  <si>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</si>
  <si>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</si>
  <si>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</si>
  <si>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</si>
  <si>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</si>
  <si>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</si>
  <si>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</si>
  <si>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</si>
  <si>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</si>
  <si>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</si>
  <si>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</si>
  <si>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</si>
  <si>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</si>
  <si>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</si>
  <si>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</si>
  <si>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</si>
  <si>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</si>
  <si>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</si>
  <si>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</si>
  <si>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</si>
  <si>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</si>
  <si>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</si>
  <si>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</si>
  <si>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</si>
  <si>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</si>
  <si>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</si>
  <si>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</si>
  <si>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</si>
  <si>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</si>
  <si>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</si>
  <si>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</si>
  <si>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</si>
  <si>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</si>
  <si>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</si>
  <si>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</si>
  <si>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</si>
  <si>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</si>
  <si>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</si>
  <si>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</si>
  <si>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</si>
  <si>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</si>
  <si>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</si>
  <si>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</si>
  <si>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合计(BA)：</t>
  </si>
  <si>
    <t>合计(NON BA)：</t>
  </si>
  <si>
    <t>预算：</t>
  </si>
  <si>
    <t>差异：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</si>
  <si>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</si>
  <si>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</si>
  <si>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</si>
  <si>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</si>
  <si>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</si>
  <si>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</si>
  <si>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</si>
  <si>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</si>
  <si>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</si>
  <si>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</si>
  <si>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</si>
  <si>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</si>
  <si>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</si>
  <si>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</si>
  <si>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Kilian</t>
  </si>
  <si>
    <t>本月补发薪资：0</t>
  </si>
  <si>
    <t>本月补发福利：0</t>
  </si>
  <si>
    <t>本月补发加班费：0</t>
  </si>
  <si>
    <t>HC：0</t>
  </si>
  <si>
    <t>标黄的是我们需要拆的</t>
  </si>
  <si>
    <t>KL</t>
  </si>
  <si>
    <r>
      <t>合计：</t>
    </r>
    <r>
      <rPr>
        <sz val="10"/>
        <color rgb="FFFF0000"/>
        <rFont val="Aptos Narrow (Body)"/>
      </rPr>
      <t>(给财务看的字段,表格内有的字段才会有合计数据）</t>
    </r>
  </si>
  <si>
    <t>计算3-6月的合计</t>
  </si>
  <si>
    <t>Kilian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</si>
</sst>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5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等线"/>
      <family val="2"/>
      <scheme val="minor"/>
    </font>
    <font>
      <sz val="10"/>
      <color rgb="FFFF0000"/>
      <name val="Aptos Narrow (Body)"/>
    </font>
    <font>
      <sz val="9"/>
      <name val="等线"/>
      <family val="2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176" fontId="21" fillId="35" borderId="0" xfId="0" applyNumberFormat="1" applyFont="1" applyFill="1" applyAlignment="1">
      <alignment horizontal="right"/>
    </xf>
    <xf numFmtId="0" fontId="21" fillId="34" borderId="0" xfId="0" applyFont="1" applyFill="1" applyAlignment="1">
      <alignment horizontal="right"/>
    </xf>
    <xf numFmtId="0" fontId="21" fillId="35" borderId="0" xfId="0" applyFont="1" applyFill="1" applyAlignment="1">
      <alignment horizontal="right"/>
    </xf>
    <xf numFmtId="0" fontId="21" fillId="36" borderId="0" xfId="0" applyFont="1" applyFill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0" fontId="22" fillId="34" borderId="0" xfId="0" applyFont="1" applyFill="1"/>
    <xf numFmtId="0" fontId="22" fillId="37" borderId="0" xfId="0" applyFont="1" applyFill="1"/>
    <xf numFmtId="9" fontId="20" fillId="34" borderId="0" xfId="0" applyNumberFormat="1" applyFont="1" applyFill="1"/>
    <xf numFmtId="9" fontId="20" fillId="35" borderId="0" xfId="0" applyNumberFormat="1" applyFont="1" applyFill="1"/>
    <xf numFmtId="0" fontId="21" fillId="34" borderId="0" xfId="0" applyFont="1" applyFill="1" applyAlignment="1">
      <alignment wrapText="1"/>
    </xf>
    <xf numFmtId="0" fontId="22" fillId="35" borderId="0" xfId="0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63500</xdr:rowOff>
        </xdr:from>
        <xdr:to>
          <xdr:col>1</xdr:col>
          <xdr:colOff>514350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分组求合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3"/>
  <sheetViews>
    <sheetView showGridLines="0" zoomScale="130" zoomScaleNormal="130" workbookViewId="0">
      <pane xSplit="6" ySplit="3" topLeftCell="H18" activePane="bottomRight" state="frozen"/>
      <selection pane="topRight" activeCell="E1" sqref="E1"/>
      <selection pane="bottomLeft" activeCell="A3" sqref="A3"/>
      <selection pane="bottomRight" activeCell="B30" sqref="B30"/>
    </sheetView>
  </sheetViews>
  <sheetFormatPr defaultColWidth="8.83203125" defaultRowHeight="14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>
      <c r="A1" s="28"/>
      <c r="B1" s="28"/>
    </row>
    <row r="2" spans="1:107" s="1" customFormat="1">
      <c r="A2" s="1" t="s">
        <v>198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6" si="0">1000*W4</f>
        <v>5000</v>
      </c>
      <c r="V4" s="8">
        <f t="shared" ref="V4:V26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6" si="2">1000*AD4</f>
        <v>5000</v>
      </c>
      <c r="AC4" s="8">
        <f t="shared" ref="AC4:AC26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6" si="4">1000*AK4</f>
        <v>5000</v>
      </c>
      <c r="AJ4" s="8">
        <f t="shared" ref="AJ4:AJ26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6" si="6">1000*AR4</f>
        <v>5000</v>
      </c>
      <c r="AQ4" s="8">
        <f t="shared" ref="AQ4:AQ26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6" si="8">1000*AY4</f>
        <v>5000</v>
      </c>
      <c r="AX4" s="8">
        <f t="shared" ref="AX4:AX26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6" si="10">1000*BF4</f>
        <v>5000</v>
      </c>
      <c r="BE4" s="8">
        <f t="shared" ref="BE4:BE26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6" si="12">1000*BM4</f>
        <v>5000</v>
      </c>
      <c r="BL4" s="8">
        <f t="shared" ref="BL4:BL26" si="13">1000*BM4</f>
        <v>5000</v>
      </c>
      <c r="BM4" s="14">
        <v>5</v>
      </c>
      <c r="BN4" s="14">
        <v>0</v>
      </c>
      <c r="BO4" s="14">
        <v>0</v>
      </c>
      <c r="BP4" s="8">
        <f t="shared" ref="BP4:BP26" si="14">1000*BR4</f>
        <v>5000</v>
      </c>
      <c r="BQ4" s="8">
        <f t="shared" ref="BQ4:BQ26" si="15">1000*BR4</f>
        <v>5000</v>
      </c>
      <c r="BR4" s="14">
        <v>5</v>
      </c>
      <c r="BS4" s="14">
        <v>0</v>
      </c>
      <c r="BT4" s="14">
        <v>0</v>
      </c>
      <c r="BU4" s="8">
        <f t="shared" ref="BU4:BU26" si="16">1000*BW4</f>
        <v>5000</v>
      </c>
      <c r="BV4" s="8">
        <f t="shared" ref="BV4:BV26" si="17">1000*BW4</f>
        <v>5000</v>
      </c>
      <c r="BW4" s="14">
        <v>5</v>
      </c>
      <c r="BX4" s="14">
        <v>0</v>
      </c>
      <c r="BY4" s="14">
        <v>0</v>
      </c>
      <c r="BZ4" s="8">
        <f t="shared" ref="BZ4:BZ26" si="18">1000*CB4</f>
        <v>5000</v>
      </c>
      <c r="CA4" s="8">
        <f t="shared" ref="CA4:CA26" si="19">1000*CB4</f>
        <v>5000</v>
      </c>
      <c r="CB4" s="14">
        <v>5</v>
      </c>
      <c r="CC4" s="14">
        <v>0</v>
      </c>
      <c r="CD4" s="14">
        <v>0</v>
      </c>
      <c r="CE4" s="8">
        <f t="shared" ref="CE4:CE26" si="20">1000*CG4</f>
        <v>5000</v>
      </c>
      <c r="CF4" s="8">
        <f t="shared" ref="CF4:CF26" si="21">1000*CG4</f>
        <v>5000</v>
      </c>
      <c r="CG4" s="14">
        <v>5</v>
      </c>
      <c r="CH4" s="14">
        <v>0</v>
      </c>
      <c r="CI4" s="14">
        <v>0</v>
      </c>
      <c r="CJ4" s="8">
        <f t="shared" ref="CJ4:CJ26" si="22">1000*CL4</f>
        <v>5000</v>
      </c>
      <c r="CK4" s="8">
        <f t="shared" ref="CK4:CK26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6" si="24">SUM(U4,AB4,AI4,AP4,AW4,BD4,BK4,BP4,BU4,BZ4,CE4,CJ4)</f>
        <v>60000</v>
      </c>
      <c r="CQ4" s="9">
        <f t="shared" ref="CQ4:CQ26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6" si="26">CT4-CP4</f>
        <v>-60000</v>
      </c>
      <c r="CW4" s="8">
        <f t="shared" ref="CW4:CW26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6" si="28">CP4</f>
        <v>60000</v>
      </c>
      <c r="DC4" s="8">
        <f t="shared" ref="DC4:DC26" si="29">CQ4</f>
        <v>60000</v>
      </c>
    </row>
    <row r="5" spans="1:107" s="4" customFormat="1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>
      <c r="A21" s="24" t="s">
        <v>126</v>
      </c>
      <c r="C21" s="5" t="s">
        <v>105</v>
      </c>
      <c r="D21" s="5" t="s">
        <v>106</v>
      </c>
      <c r="E21" s="5" t="s">
        <v>164</v>
      </c>
      <c r="F21" s="23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4" customFormat="1">
      <c r="A22" s="24" t="s">
        <v>126</v>
      </c>
      <c r="C22" s="5" t="s">
        <v>105</v>
      </c>
      <c r="D22" s="5" t="s">
        <v>106</v>
      </c>
      <c r="E22" s="5" t="s">
        <v>164</v>
      </c>
      <c r="F22" s="23" t="s">
        <v>165</v>
      </c>
      <c r="G22" s="5"/>
      <c r="H22" s="5" t="s">
        <v>166</v>
      </c>
      <c r="I22" s="5">
        <v>5842263202</v>
      </c>
      <c r="J22" s="5" t="s">
        <v>109</v>
      </c>
      <c r="K22" s="5" t="s">
        <v>166</v>
      </c>
      <c r="L22" s="5" t="s">
        <v>166</v>
      </c>
      <c r="M22" s="5" t="s">
        <v>163</v>
      </c>
      <c r="N22" s="5" t="s">
        <v>128</v>
      </c>
      <c r="O22" s="6" t="s">
        <v>113</v>
      </c>
      <c r="P22" s="6"/>
      <c r="Q22" s="7"/>
      <c r="R22" s="7"/>
      <c r="S22" s="8">
        <v>0</v>
      </c>
      <c r="T22" s="8">
        <v>0</v>
      </c>
      <c r="U22" s="8">
        <f t="shared" ref="U22" si="30">1000*W22</f>
        <v>0</v>
      </c>
      <c r="V22" s="8">
        <f t="shared" ref="V22" si="31">1000*W22</f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f t="shared" ref="AB22" si="32">1000*AD22</f>
        <v>5000</v>
      </c>
      <c r="AC22" s="8">
        <f t="shared" ref="AC22" si="33">1000*AD22</f>
        <v>5000</v>
      </c>
      <c r="AD22" s="8">
        <v>5</v>
      </c>
      <c r="AE22" s="8">
        <v>0</v>
      </c>
      <c r="AF22" s="8">
        <v>0</v>
      </c>
      <c r="AG22" s="8">
        <v>0</v>
      </c>
      <c r="AH22" s="8">
        <v>0</v>
      </c>
      <c r="AI22" s="8">
        <f t="shared" ref="AI22" si="34">1000*AK22</f>
        <v>5000</v>
      </c>
      <c r="AJ22" s="8">
        <f t="shared" ref="AJ22" si="35">1000*AK22</f>
        <v>5000</v>
      </c>
      <c r="AK22" s="8">
        <v>5</v>
      </c>
      <c r="AL22" s="8">
        <v>0</v>
      </c>
      <c r="AM22" s="8">
        <v>0</v>
      </c>
      <c r="AN22" s="8">
        <v>0</v>
      </c>
      <c r="AO22" s="8">
        <v>0</v>
      </c>
      <c r="AP22" s="8">
        <f t="shared" ref="AP22" si="36">1000*AR22</f>
        <v>5000</v>
      </c>
      <c r="AQ22" s="8">
        <f t="shared" ref="AQ22" si="37">1000*AR22</f>
        <v>5000</v>
      </c>
      <c r="AR22" s="8">
        <v>5</v>
      </c>
      <c r="AS22" s="8">
        <v>0</v>
      </c>
      <c r="AT22" s="8">
        <v>0</v>
      </c>
      <c r="AU22" s="8">
        <v>0</v>
      </c>
      <c r="AV22" s="8">
        <v>0</v>
      </c>
      <c r="AW22" s="8">
        <f t="shared" ref="AW22" si="38">1000*AY22</f>
        <v>5000</v>
      </c>
      <c r="AX22" s="8">
        <f t="shared" ref="AX22" si="39">1000*AY22</f>
        <v>5000</v>
      </c>
      <c r="AY22" s="8">
        <v>5</v>
      </c>
      <c r="AZ22" s="8">
        <v>0</v>
      </c>
      <c r="BA22" s="8">
        <v>0</v>
      </c>
      <c r="BB22" s="8">
        <v>0</v>
      </c>
      <c r="BC22" s="8">
        <v>0</v>
      </c>
      <c r="BD22" s="8">
        <f t="shared" ref="BD22" si="40">1000*BF22</f>
        <v>5000</v>
      </c>
      <c r="BE22" s="8">
        <f t="shared" ref="BE22" si="41">1000*BF22</f>
        <v>5000</v>
      </c>
      <c r="BF22" s="8">
        <v>5</v>
      </c>
      <c r="BG22" s="8">
        <v>0</v>
      </c>
      <c r="BH22" s="8">
        <v>0</v>
      </c>
      <c r="BI22" s="8">
        <v>0</v>
      </c>
      <c r="BJ22" s="8">
        <v>0</v>
      </c>
      <c r="BK22" s="8">
        <f t="shared" ref="BK22" si="42">1000*BM22</f>
        <v>5000</v>
      </c>
      <c r="BL22" s="8">
        <f t="shared" ref="BL22" si="43">1000*BM22</f>
        <v>5000</v>
      </c>
      <c r="BM22" s="8">
        <v>5</v>
      </c>
      <c r="BN22" s="8">
        <v>0</v>
      </c>
      <c r="BO22" s="8">
        <v>0</v>
      </c>
      <c r="BP22" s="8">
        <f t="shared" ref="BP22" si="44">1000*BR22</f>
        <v>5000</v>
      </c>
      <c r="BQ22" s="8">
        <f t="shared" ref="BQ22" si="45">1000*BR22</f>
        <v>5000</v>
      </c>
      <c r="BR22" s="8">
        <v>5</v>
      </c>
      <c r="BS22" s="8">
        <v>0</v>
      </c>
      <c r="BT22" s="8">
        <v>0</v>
      </c>
      <c r="BU22" s="8">
        <f t="shared" ref="BU22" si="46">1000*BW22</f>
        <v>5000</v>
      </c>
      <c r="BV22" s="8">
        <f t="shared" ref="BV22" si="47">1000*BW22</f>
        <v>5000</v>
      </c>
      <c r="BW22" s="8">
        <v>5</v>
      </c>
      <c r="BX22" s="8">
        <v>0</v>
      </c>
      <c r="BY22" s="8">
        <v>0</v>
      </c>
      <c r="BZ22" s="8">
        <f t="shared" ref="BZ22" si="48">1000*CB22</f>
        <v>5000</v>
      </c>
      <c r="CA22" s="8">
        <f t="shared" ref="CA22" si="49">1000*CB22</f>
        <v>5000</v>
      </c>
      <c r="CB22" s="8">
        <v>5</v>
      </c>
      <c r="CC22" s="8">
        <v>0</v>
      </c>
      <c r="CD22" s="8">
        <v>0</v>
      </c>
      <c r="CE22" s="8">
        <f t="shared" ref="CE22" si="50">1000*CG22</f>
        <v>5000</v>
      </c>
      <c r="CF22" s="8">
        <f t="shared" ref="CF22" si="51">1000*CG22</f>
        <v>5000</v>
      </c>
      <c r="CG22" s="8">
        <v>5</v>
      </c>
      <c r="CH22" s="8">
        <v>0</v>
      </c>
      <c r="CI22" s="8">
        <v>0</v>
      </c>
      <c r="CJ22" s="8">
        <f t="shared" ref="CJ22" si="52">1000*CL22</f>
        <v>5000</v>
      </c>
      <c r="CK22" s="8">
        <f t="shared" ref="CK22" si="53">1000*CL22</f>
        <v>5000</v>
      </c>
      <c r="CL22" s="8">
        <v>5</v>
      </c>
      <c r="CM22" s="8">
        <v>0</v>
      </c>
      <c r="CN22" s="8">
        <v>0</v>
      </c>
      <c r="CO22" s="8">
        <v>0</v>
      </c>
      <c r="CP22" s="9">
        <f t="shared" ref="CP22" si="54">SUM(U22,AB22,AI22,AP22,AW22,BD22,BK22,BP22,BU22,BZ22,CE22,CJ22)</f>
        <v>55000</v>
      </c>
      <c r="CQ22" s="9">
        <f t="shared" ref="CQ22" si="55">SUM(V22,AC22,AJ22,AQ22,AX22,BE22,BL22,BQ22,BV22,CA22,CF22,CK22)</f>
        <v>55000</v>
      </c>
      <c r="CR22" s="8">
        <v>4.5999999999999996</v>
      </c>
      <c r="CS22" s="8">
        <v>0</v>
      </c>
      <c r="CT22" s="8">
        <v>0</v>
      </c>
      <c r="CU22" s="8">
        <v>0</v>
      </c>
      <c r="CV22" s="8">
        <f t="shared" ref="CV22" si="56">CT22-CP22</f>
        <v>-55000</v>
      </c>
      <c r="CW22" s="8">
        <f t="shared" ref="CW22" si="57">CU22-CQ22</f>
        <v>-55000</v>
      </c>
      <c r="CX22" s="8">
        <v>0</v>
      </c>
      <c r="CY22" s="8">
        <v>0</v>
      </c>
      <c r="CZ22" s="8">
        <v>0</v>
      </c>
      <c r="DA22" s="8">
        <v>0</v>
      </c>
      <c r="DB22" s="8">
        <f t="shared" ref="DB22" si="58">CP22</f>
        <v>55000</v>
      </c>
      <c r="DC22" s="8">
        <f t="shared" ref="DC22" si="59">CQ22</f>
        <v>55000</v>
      </c>
    </row>
    <row r="23" spans="1:107" s="10" customFormat="1">
      <c r="C23" s="11" t="s">
        <v>105</v>
      </c>
      <c r="D23" s="11" t="s">
        <v>106</v>
      </c>
      <c r="E23" s="11" t="s">
        <v>124</v>
      </c>
      <c r="F23" s="11" t="s">
        <v>167</v>
      </c>
      <c r="G23" s="11"/>
      <c r="H23" s="11" t="s">
        <v>168</v>
      </c>
      <c r="I23" s="11" t="s">
        <v>168</v>
      </c>
      <c r="J23" s="11" t="s">
        <v>109</v>
      </c>
      <c r="K23" s="11" t="s">
        <v>168</v>
      </c>
      <c r="L23" s="11" t="s">
        <v>168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f t="shared" si="0"/>
        <v>0</v>
      </c>
      <c r="V23" s="8">
        <f t="shared" si="1"/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f t="shared" si="2"/>
        <v>0</v>
      </c>
      <c r="AC23" s="8">
        <f t="shared" si="3"/>
        <v>0</v>
      </c>
      <c r="AD23" s="14">
        <v>0</v>
      </c>
      <c r="AE23" s="14">
        <v>0</v>
      </c>
      <c r="AF23" s="14">
        <v>0</v>
      </c>
      <c r="AG23" s="14">
        <v>0</v>
      </c>
      <c r="AH23" s="8">
        <v>0</v>
      </c>
      <c r="AI23" s="8">
        <f t="shared" si="4"/>
        <v>0</v>
      </c>
      <c r="AJ23" s="8">
        <f t="shared" si="5"/>
        <v>0</v>
      </c>
      <c r="AK23" s="14">
        <v>0</v>
      </c>
      <c r="AL23" s="14">
        <v>0</v>
      </c>
      <c r="AM23" s="14">
        <v>0</v>
      </c>
      <c r="AN23" s="14">
        <v>0</v>
      </c>
      <c r="AO23" s="8">
        <v>0</v>
      </c>
      <c r="AP23" s="8">
        <f t="shared" si="6"/>
        <v>0</v>
      </c>
      <c r="AQ23" s="8">
        <f t="shared" si="7"/>
        <v>0</v>
      </c>
      <c r="AR23" s="14">
        <v>0</v>
      </c>
      <c r="AS23" s="14">
        <v>0</v>
      </c>
      <c r="AT23" s="14">
        <v>0</v>
      </c>
      <c r="AU23" s="14">
        <v>0</v>
      </c>
      <c r="AV23" s="8">
        <v>0</v>
      </c>
      <c r="AW23" s="8">
        <f t="shared" si="8"/>
        <v>0</v>
      </c>
      <c r="AX23" s="8">
        <f t="shared" si="9"/>
        <v>0</v>
      </c>
      <c r="AY23" s="14">
        <v>0</v>
      </c>
      <c r="AZ23" s="14">
        <v>0</v>
      </c>
      <c r="BA23" s="14">
        <v>0</v>
      </c>
      <c r="BB23" s="14">
        <v>0</v>
      </c>
      <c r="BC23" s="8">
        <v>0</v>
      </c>
      <c r="BD23" s="8">
        <f t="shared" si="10"/>
        <v>0</v>
      </c>
      <c r="BE23" s="8">
        <f t="shared" si="11"/>
        <v>0</v>
      </c>
      <c r="BF23" s="14">
        <v>0</v>
      </c>
      <c r="BG23" s="14">
        <v>0</v>
      </c>
      <c r="BH23" s="14">
        <v>0</v>
      </c>
      <c r="BI23" s="14">
        <v>0</v>
      </c>
      <c r="BJ23" s="8">
        <v>0</v>
      </c>
      <c r="BK23" s="8">
        <f t="shared" si="12"/>
        <v>0</v>
      </c>
      <c r="BL23" s="8">
        <f t="shared" si="13"/>
        <v>0</v>
      </c>
      <c r="BM23" s="14">
        <v>0</v>
      </c>
      <c r="BN23" s="14">
        <v>0</v>
      </c>
      <c r="BO23" s="14">
        <v>0</v>
      </c>
      <c r="BP23" s="8">
        <f t="shared" si="14"/>
        <v>0</v>
      </c>
      <c r="BQ23" s="8">
        <f t="shared" si="15"/>
        <v>0</v>
      </c>
      <c r="BR23" s="14">
        <v>0</v>
      </c>
      <c r="BS23" s="14">
        <v>0</v>
      </c>
      <c r="BT23" s="14">
        <v>0</v>
      </c>
      <c r="BU23" s="8">
        <f t="shared" si="16"/>
        <v>4000</v>
      </c>
      <c r="BV23" s="8">
        <f t="shared" si="17"/>
        <v>4000</v>
      </c>
      <c r="BW23" s="14">
        <v>4</v>
      </c>
      <c r="BX23" s="14">
        <v>0</v>
      </c>
      <c r="BY23" s="14">
        <v>0</v>
      </c>
      <c r="BZ23" s="8">
        <f t="shared" si="18"/>
        <v>4000</v>
      </c>
      <c r="CA23" s="8">
        <f t="shared" si="19"/>
        <v>4000</v>
      </c>
      <c r="CB23" s="14">
        <v>4</v>
      </c>
      <c r="CC23" s="14">
        <v>0</v>
      </c>
      <c r="CD23" s="14">
        <v>0</v>
      </c>
      <c r="CE23" s="8">
        <f t="shared" si="20"/>
        <v>4000</v>
      </c>
      <c r="CF23" s="8">
        <f t="shared" si="21"/>
        <v>4000</v>
      </c>
      <c r="CG23" s="14">
        <v>4</v>
      </c>
      <c r="CH23" s="14">
        <v>0</v>
      </c>
      <c r="CI23" s="14">
        <v>0</v>
      </c>
      <c r="CJ23" s="8">
        <f t="shared" si="22"/>
        <v>4000</v>
      </c>
      <c r="CK23" s="8">
        <f t="shared" si="23"/>
        <v>4000</v>
      </c>
      <c r="CL23" s="14">
        <v>4</v>
      </c>
      <c r="CM23" s="14">
        <v>0</v>
      </c>
      <c r="CN23" s="14">
        <v>0</v>
      </c>
      <c r="CO23" s="14">
        <v>0</v>
      </c>
      <c r="CP23" s="9">
        <f t="shared" si="24"/>
        <v>16000</v>
      </c>
      <c r="CQ23" s="9">
        <f t="shared" si="25"/>
        <v>16000</v>
      </c>
      <c r="CR23" s="14">
        <v>1.3</v>
      </c>
      <c r="CS23" s="14">
        <v>0</v>
      </c>
      <c r="CT23" s="14">
        <v>0</v>
      </c>
      <c r="CU23" s="14">
        <v>0</v>
      </c>
      <c r="CV23" s="8">
        <f t="shared" si="26"/>
        <v>-16000</v>
      </c>
      <c r="CW23" s="8">
        <f t="shared" si="27"/>
        <v>-16000</v>
      </c>
      <c r="CX23" s="14">
        <v>0</v>
      </c>
      <c r="CY23" s="14">
        <v>0</v>
      </c>
      <c r="CZ23" s="14">
        <v>0</v>
      </c>
      <c r="DA23" s="14">
        <v>0</v>
      </c>
      <c r="DB23" s="8">
        <f t="shared" si="28"/>
        <v>16000</v>
      </c>
      <c r="DC23" s="8">
        <f t="shared" si="29"/>
        <v>16000</v>
      </c>
    </row>
    <row r="24" spans="1:107" s="4" customFormat="1">
      <c r="A24" s="24" t="s">
        <v>126</v>
      </c>
      <c r="C24" s="5" t="s">
        <v>105</v>
      </c>
      <c r="D24" s="5" t="s">
        <v>106</v>
      </c>
      <c r="E24" s="5" t="s">
        <v>107</v>
      </c>
      <c r="F24" s="23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f t="shared" si="0"/>
        <v>0</v>
      </c>
      <c r="V24" s="8">
        <f t="shared" si="1"/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f t="shared" si="2"/>
        <v>0</v>
      </c>
      <c r="AC24" s="8">
        <f t="shared" si="3"/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f t="shared" si="4"/>
        <v>0</v>
      </c>
      <c r="AJ24" s="8">
        <f t="shared" si="5"/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f t="shared" si="6"/>
        <v>0</v>
      </c>
      <c r="AQ24" s="8">
        <f t="shared" si="7"/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f t="shared" si="8"/>
        <v>0</v>
      </c>
      <c r="AX24" s="8">
        <f t="shared" si="9"/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f t="shared" si="10"/>
        <v>0</v>
      </c>
      <c r="BE24" s="8">
        <f t="shared" si="11"/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f t="shared" si="12"/>
        <v>0</v>
      </c>
      <c r="BL24" s="8">
        <f t="shared" si="13"/>
        <v>0</v>
      </c>
      <c r="BM24" s="8">
        <v>0</v>
      </c>
      <c r="BN24" s="8">
        <v>0</v>
      </c>
      <c r="BO24" s="8">
        <v>0</v>
      </c>
      <c r="BP24" s="8">
        <f t="shared" si="14"/>
        <v>4000</v>
      </c>
      <c r="BQ24" s="8">
        <f t="shared" si="15"/>
        <v>4000</v>
      </c>
      <c r="BR24" s="8">
        <v>4</v>
      </c>
      <c r="BS24" s="8">
        <v>0</v>
      </c>
      <c r="BT24" s="8">
        <v>0</v>
      </c>
      <c r="BU24" s="8">
        <f t="shared" si="16"/>
        <v>4000</v>
      </c>
      <c r="BV24" s="8">
        <f t="shared" si="17"/>
        <v>4000</v>
      </c>
      <c r="BW24" s="8">
        <v>4</v>
      </c>
      <c r="BX24" s="8">
        <v>0</v>
      </c>
      <c r="BY24" s="8">
        <v>0</v>
      </c>
      <c r="BZ24" s="8">
        <f t="shared" si="18"/>
        <v>4000</v>
      </c>
      <c r="CA24" s="8">
        <f t="shared" si="19"/>
        <v>4000</v>
      </c>
      <c r="CB24" s="8">
        <v>4</v>
      </c>
      <c r="CC24" s="8">
        <v>0</v>
      </c>
      <c r="CD24" s="8">
        <v>0</v>
      </c>
      <c r="CE24" s="8">
        <f t="shared" si="20"/>
        <v>4000</v>
      </c>
      <c r="CF24" s="8">
        <f t="shared" si="21"/>
        <v>4000</v>
      </c>
      <c r="CG24" s="8">
        <v>4</v>
      </c>
      <c r="CH24" s="8">
        <v>0</v>
      </c>
      <c r="CI24" s="8">
        <v>0</v>
      </c>
      <c r="CJ24" s="8">
        <f t="shared" si="22"/>
        <v>4000</v>
      </c>
      <c r="CK24" s="8">
        <f t="shared" si="23"/>
        <v>4000</v>
      </c>
      <c r="CL24" s="8">
        <v>4</v>
      </c>
      <c r="CM24" s="8">
        <v>0</v>
      </c>
      <c r="CN24" s="8">
        <v>0</v>
      </c>
      <c r="CO24" s="8">
        <v>0</v>
      </c>
      <c r="CP24" s="9">
        <f t="shared" si="24"/>
        <v>20000</v>
      </c>
      <c r="CQ24" s="9">
        <f t="shared" si="25"/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f t="shared" si="26"/>
        <v>-20000</v>
      </c>
      <c r="CW24" s="8">
        <f t="shared" si="27"/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f t="shared" si="28"/>
        <v>20000</v>
      </c>
      <c r="DC24" s="8">
        <f t="shared" si="29"/>
        <v>20000</v>
      </c>
    </row>
    <row r="25" spans="1:107" s="4" customFormat="1">
      <c r="A25" s="24" t="s">
        <v>126</v>
      </c>
      <c r="C25" s="5" t="s">
        <v>105</v>
      </c>
      <c r="D25" s="5" t="s">
        <v>106</v>
      </c>
      <c r="E25" s="5" t="s">
        <v>107</v>
      </c>
      <c r="F25" s="23" t="s">
        <v>169</v>
      </c>
      <c r="G25" s="5"/>
      <c r="H25" s="5" t="s">
        <v>170</v>
      </c>
      <c r="I25" s="5">
        <v>5841813202</v>
      </c>
      <c r="J25" s="5" t="s">
        <v>109</v>
      </c>
      <c r="K25" s="5" t="s">
        <v>170</v>
      </c>
      <c r="L25" s="5" t="s">
        <v>170</v>
      </c>
      <c r="M25" s="5" t="s">
        <v>163</v>
      </c>
      <c r="N25" s="5" t="s">
        <v>112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" si="60">1000*W25</f>
        <v>0</v>
      </c>
      <c r="V25" s="8">
        <f t="shared" ref="V25" si="6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" si="62">1000*AD25</f>
        <v>0</v>
      </c>
      <c r="AC25" s="8">
        <f t="shared" ref="AC25" si="63">1000*AD25</f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" si="64">1000*AK25</f>
        <v>0</v>
      </c>
      <c r="AJ25" s="8">
        <f t="shared" ref="AJ25" si="65">1000*AK25</f>
        <v>0</v>
      </c>
      <c r="AK25" s="8">
        <v>0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" si="66">1000*AR25</f>
        <v>0</v>
      </c>
      <c r="AQ25" s="8">
        <f t="shared" ref="AQ25" si="67">1000*AR25</f>
        <v>0</v>
      </c>
      <c r="AR25" s="8">
        <v>0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" si="68">1000*AY25</f>
        <v>0</v>
      </c>
      <c r="AX25" s="8">
        <f t="shared" ref="AX25" si="69">1000*AY25</f>
        <v>0</v>
      </c>
      <c r="AY25" s="8">
        <v>0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" si="70">1000*BF25</f>
        <v>0</v>
      </c>
      <c r="BE25" s="8">
        <f t="shared" ref="BE25" si="71">1000*BF25</f>
        <v>0</v>
      </c>
      <c r="BF25" s="8">
        <v>0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" si="72">1000*BM25</f>
        <v>0</v>
      </c>
      <c r="BL25" s="8">
        <f t="shared" ref="BL25" si="73">1000*BM25</f>
        <v>0</v>
      </c>
      <c r="BM25" s="8">
        <v>0</v>
      </c>
      <c r="BN25" s="8">
        <v>0</v>
      </c>
      <c r="BO25" s="8">
        <v>0</v>
      </c>
      <c r="BP25" s="8">
        <f t="shared" ref="BP25" si="74">1000*BR25</f>
        <v>4000</v>
      </c>
      <c r="BQ25" s="8">
        <f t="shared" ref="BQ25" si="75">1000*BR25</f>
        <v>4000</v>
      </c>
      <c r="BR25" s="8">
        <v>4</v>
      </c>
      <c r="BS25" s="8">
        <v>0</v>
      </c>
      <c r="BT25" s="8">
        <v>0</v>
      </c>
      <c r="BU25" s="8">
        <f t="shared" ref="BU25" si="76">1000*BW25</f>
        <v>4000</v>
      </c>
      <c r="BV25" s="8">
        <f t="shared" ref="BV25" si="77">1000*BW25</f>
        <v>4000</v>
      </c>
      <c r="BW25" s="8">
        <v>4</v>
      </c>
      <c r="BX25" s="8">
        <v>0</v>
      </c>
      <c r="BY25" s="8">
        <v>0</v>
      </c>
      <c r="BZ25" s="8">
        <f t="shared" ref="BZ25" si="78">1000*CB25</f>
        <v>4000</v>
      </c>
      <c r="CA25" s="8">
        <f t="shared" ref="CA25" si="79">1000*CB25</f>
        <v>4000</v>
      </c>
      <c r="CB25" s="8">
        <v>4</v>
      </c>
      <c r="CC25" s="8">
        <v>0</v>
      </c>
      <c r="CD25" s="8">
        <v>0</v>
      </c>
      <c r="CE25" s="8">
        <f t="shared" ref="CE25" si="80">1000*CG25</f>
        <v>4000</v>
      </c>
      <c r="CF25" s="8">
        <f t="shared" ref="CF25" si="81">1000*CG25</f>
        <v>4000</v>
      </c>
      <c r="CG25" s="8">
        <v>4</v>
      </c>
      <c r="CH25" s="8">
        <v>0</v>
      </c>
      <c r="CI25" s="8">
        <v>0</v>
      </c>
      <c r="CJ25" s="8">
        <f t="shared" ref="CJ25" si="82">1000*CL25</f>
        <v>4000</v>
      </c>
      <c r="CK25" s="8">
        <f t="shared" ref="CK25" si="83">1000*CL25</f>
        <v>4000</v>
      </c>
      <c r="CL25" s="8">
        <v>4</v>
      </c>
      <c r="CM25" s="8">
        <v>0</v>
      </c>
      <c r="CN25" s="8">
        <v>0</v>
      </c>
      <c r="CO25" s="8">
        <v>0</v>
      </c>
      <c r="CP25" s="9">
        <f t="shared" ref="CP25" si="84">SUM(U25,AB25,AI25,AP25,AW25,BD25,BK25,BP25,BU25,BZ25,CE25,CJ25)</f>
        <v>20000</v>
      </c>
      <c r="CQ25" s="9">
        <f t="shared" ref="CQ25" si="85">SUM(V25,AC25,AJ25,AQ25,AX25,BE25,BL25,BQ25,BV25,CA25,CF25,CK25)</f>
        <v>20000</v>
      </c>
      <c r="CR25" s="8">
        <v>2</v>
      </c>
      <c r="CS25" s="8">
        <v>0</v>
      </c>
      <c r="CT25" s="8">
        <v>0</v>
      </c>
      <c r="CU25" s="8">
        <v>0</v>
      </c>
      <c r="CV25" s="8">
        <f t="shared" ref="CV25" si="86">CT25-CP25</f>
        <v>-20000</v>
      </c>
      <c r="CW25" s="8">
        <f t="shared" ref="CW25" si="87">CU25-CQ25</f>
        <v>-20000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" si="88">CP25</f>
        <v>20000</v>
      </c>
      <c r="DC25" s="8">
        <f t="shared" ref="DC25" si="89">CQ25</f>
        <v>20000</v>
      </c>
    </row>
    <row r="26" spans="1:107" s="10" customFormat="1">
      <c r="B26" s="25" t="s">
        <v>126</v>
      </c>
      <c r="C26" s="11" t="s">
        <v>105</v>
      </c>
      <c r="D26" s="11" t="s">
        <v>106</v>
      </c>
      <c r="E26" s="11" t="s">
        <v>107</v>
      </c>
      <c r="F26" s="23" t="s">
        <v>171</v>
      </c>
      <c r="G26" s="11"/>
      <c r="H26" s="11" t="s">
        <v>172</v>
      </c>
      <c r="I26" s="11">
        <v>5841813202</v>
      </c>
      <c r="J26" s="11" t="s">
        <v>109</v>
      </c>
      <c r="K26" s="11" t="s">
        <v>172</v>
      </c>
      <c r="L26" s="11" t="s">
        <v>172</v>
      </c>
      <c r="M26" s="11" t="s">
        <v>163</v>
      </c>
      <c r="N26" s="11" t="s">
        <v>112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0"/>
        <v>0</v>
      </c>
      <c r="V26" s="8">
        <f t="shared" si="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2"/>
        <v>0</v>
      </c>
      <c r="AC26" s="8">
        <f t="shared" si="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4"/>
        <v>0</v>
      </c>
      <c r="AJ26" s="8">
        <f t="shared" si="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6"/>
        <v>0</v>
      </c>
      <c r="AQ26" s="8">
        <f t="shared" si="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8"/>
        <v>0</v>
      </c>
      <c r="AX26" s="8">
        <f t="shared" si="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10"/>
        <v>0</v>
      </c>
      <c r="BE26" s="8">
        <f t="shared" si="1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12"/>
        <v>0</v>
      </c>
      <c r="BL26" s="8">
        <f t="shared" si="13"/>
        <v>0</v>
      </c>
      <c r="BM26" s="14">
        <v>0</v>
      </c>
      <c r="BN26" s="14">
        <v>0</v>
      </c>
      <c r="BO26" s="14">
        <v>0</v>
      </c>
      <c r="BP26" s="8">
        <f t="shared" si="14"/>
        <v>4000</v>
      </c>
      <c r="BQ26" s="8">
        <f t="shared" si="15"/>
        <v>4000</v>
      </c>
      <c r="BR26" s="14">
        <v>4</v>
      </c>
      <c r="BS26" s="14">
        <v>0</v>
      </c>
      <c r="BT26" s="14">
        <v>0</v>
      </c>
      <c r="BU26" s="8">
        <f t="shared" si="16"/>
        <v>4000</v>
      </c>
      <c r="BV26" s="8">
        <f t="shared" si="17"/>
        <v>4000</v>
      </c>
      <c r="BW26" s="14">
        <v>4</v>
      </c>
      <c r="BX26" s="14">
        <v>0</v>
      </c>
      <c r="BY26" s="14">
        <v>0</v>
      </c>
      <c r="BZ26" s="8">
        <f t="shared" si="18"/>
        <v>4000</v>
      </c>
      <c r="CA26" s="8">
        <f t="shared" si="19"/>
        <v>4000</v>
      </c>
      <c r="CB26" s="14">
        <v>4</v>
      </c>
      <c r="CC26" s="14">
        <v>0</v>
      </c>
      <c r="CD26" s="14">
        <v>0</v>
      </c>
      <c r="CE26" s="8">
        <f t="shared" si="20"/>
        <v>4000</v>
      </c>
      <c r="CF26" s="8">
        <f t="shared" si="21"/>
        <v>4000</v>
      </c>
      <c r="CG26" s="14">
        <v>4</v>
      </c>
      <c r="CH26" s="14">
        <v>0</v>
      </c>
      <c r="CI26" s="14">
        <v>0</v>
      </c>
      <c r="CJ26" s="8">
        <f t="shared" si="22"/>
        <v>4000</v>
      </c>
      <c r="CK26" s="8">
        <f t="shared" si="2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24"/>
        <v>20000</v>
      </c>
      <c r="CQ26" s="9">
        <f t="shared" si="25"/>
        <v>20000</v>
      </c>
      <c r="CR26" s="14">
        <v>2</v>
      </c>
      <c r="CS26" s="14">
        <v>0</v>
      </c>
      <c r="CT26" s="14">
        <v>0</v>
      </c>
      <c r="CU26" s="14">
        <v>0</v>
      </c>
      <c r="CV26" s="8">
        <f t="shared" si="26"/>
        <v>-20000</v>
      </c>
      <c r="CW26" s="8">
        <f t="shared" si="27"/>
        <v>-20000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28"/>
        <v>20000</v>
      </c>
      <c r="DC26" s="8">
        <f t="shared" si="29"/>
        <v>20000</v>
      </c>
    </row>
    <row r="27" spans="1:107" s="10" customFormat="1">
      <c r="B27" s="25" t="s">
        <v>126</v>
      </c>
      <c r="C27" s="11" t="s">
        <v>105</v>
      </c>
      <c r="D27" s="11" t="s">
        <v>106</v>
      </c>
      <c r="E27" s="11" t="s">
        <v>107</v>
      </c>
      <c r="F27" s="23" t="s">
        <v>171</v>
      </c>
      <c r="G27" s="11"/>
      <c r="H27" s="11" t="s">
        <v>172</v>
      </c>
      <c r="I27" s="11">
        <v>5841813202</v>
      </c>
      <c r="J27" s="11" t="s">
        <v>109</v>
      </c>
      <c r="K27" s="11" t="s">
        <v>172</v>
      </c>
      <c r="L27" s="11" t="s">
        <v>172</v>
      </c>
      <c r="M27" s="11" t="s">
        <v>163</v>
      </c>
      <c r="N27" s="11" t="s">
        <v>112</v>
      </c>
      <c r="O27" s="12" t="s">
        <v>113</v>
      </c>
      <c r="P27" s="12"/>
      <c r="Q27" s="13"/>
      <c r="R27" s="13"/>
      <c r="S27" s="14">
        <v>0</v>
      </c>
      <c r="T27" s="14">
        <v>0</v>
      </c>
      <c r="U27" s="8">
        <f t="shared" ref="U27" si="90">1000*W27</f>
        <v>0</v>
      </c>
      <c r="V27" s="8">
        <f t="shared" ref="V27" si="91">1000*W27</f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8">
        <f t="shared" ref="AB27" si="92">1000*AD27</f>
        <v>0</v>
      </c>
      <c r="AC27" s="8">
        <f t="shared" ref="AC27" si="93">1000*AD27</f>
        <v>0</v>
      </c>
      <c r="AD27" s="14">
        <v>0</v>
      </c>
      <c r="AE27" s="14">
        <v>0</v>
      </c>
      <c r="AF27" s="14">
        <v>0</v>
      </c>
      <c r="AG27" s="14">
        <v>0</v>
      </c>
      <c r="AH27" s="8">
        <v>0</v>
      </c>
      <c r="AI27" s="8">
        <f t="shared" ref="AI27" si="94">1000*AK27</f>
        <v>0</v>
      </c>
      <c r="AJ27" s="8">
        <f t="shared" ref="AJ27" si="95">1000*AK27</f>
        <v>0</v>
      </c>
      <c r="AK27" s="14">
        <v>0</v>
      </c>
      <c r="AL27" s="14">
        <v>0</v>
      </c>
      <c r="AM27" s="14">
        <v>0</v>
      </c>
      <c r="AN27" s="14">
        <v>0</v>
      </c>
      <c r="AO27" s="8">
        <v>0</v>
      </c>
      <c r="AP27" s="8">
        <f t="shared" ref="AP27" si="96">1000*AR27</f>
        <v>0</v>
      </c>
      <c r="AQ27" s="8">
        <f t="shared" ref="AQ27" si="97">1000*AR27</f>
        <v>0</v>
      </c>
      <c r="AR27" s="14">
        <v>0</v>
      </c>
      <c r="AS27" s="14">
        <v>0</v>
      </c>
      <c r="AT27" s="14">
        <v>0</v>
      </c>
      <c r="AU27" s="14">
        <v>0</v>
      </c>
      <c r="AV27" s="8">
        <v>0</v>
      </c>
      <c r="AW27" s="8">
        <f t="shared" ref="AW27" si="98">1000*AY27</f>
        <v>0</v>
      </c>
      <c r="AX27" s="8">
        <f t="shared" ref="AX27" si="99">1000*AY27</f>
        <v>0</v>
      </c>
      <c r="AY27" s="14">
        <v>0</v>
      </c>
      <c r="AZ27" s="14">
        <v>0</v>
      </c>
      <c r="BA27" s="14">
        <v>0</v>
      </c>
      <c r="BB27" s="14">
        <v>0</v>
      </c>
      <c r="BC27" s="8">
        <v>0</v>
      </c>
      <c r="BD27" s="8">
        <f t="shared" ref="BD27" si="100">1000*BF27</f>
        <v>0</v>
      </c>
      <c r="BE27" s="8">
        <f t="shared" ref="BE27" si="101">1000*BF27</f>
        <v>0</v>
      </c>
      <c r="BF27" s="14">
        <v>0</v>
      </c>
      <c r="BG27" s="14">
        <v>0</v>
      </c>
      <c r="BH27" s="14">
        <v>0</v>
      </c>
      <c r="BI27" s="14">
        <v>0</v>
      </c>
      <c r="BJ27" s="8">
        <v>0</v>
      </c>
      <c r="BK27" s="8">
        <f t="shared" ref="BK27" si="102">1000*BM27</f>
        <v>0</v>
      </c>
      <c r="BL27" s="8">
        <f t="shared" ref="BL27" si="103">1000*BM27</f>
        <v>0</v>
      </c>
      <c r="BM27" s="14">
        <v>0</v>
      </c>
      <c r="BN27" s="14">
        <v>0</v>
      </c>
      <c r="BO27" s="14">
        <v>0</v>
      </c>
      <c r="BP27" s="8">
        <f t="shared" ref="BP27" si="104">1000*BR27</f>
        <v>4000</v>
      </c>
      <c r="BQ27" s="8">
        <f t="shared" ref="BQ27" si="105">1000*BR27</f>
        <v>4000</v>
      </c>
      <c r="BR27" s="14">
        <v>4</v>
      </c>
      <c r="BS27" s="14">
        <v>0</v>
      </c>
      <c r="BT27" s="14">
        <v>0</v>
      </c>
      <c r="BU27" s="8">
        <f t="shared" ref="BU27" si="106">1000*BW27</f>
        <v>4000</v>
      </c>
      <c r="BV27" s="8">
        <f t="shared" ref="BV27" si="107">1000*BW27</f>
        <v>4000</v>
      </c>
      <c r="BW27" s="14">
        <v>4</v>
      </c>
      <c r="BX27" s="14">
        <v>0</v>
      </c>
      <c r="BY27" s="14">
        <v>0</v>
      </c>
      <c r="BZ27" s="8">
        <f t="shared" ref="BZ27" si="108">1000*CB27</f>
        <v>4000</v>
      </c>
      <c r="CA27" s="8">
        <f t="shared" ref="CA27" si="109">1000*CB27</f>
        <v>4000</v>
      </c>
      <c r="CB27" s="14">
        <v>4</v>
      </c>
      <c r="CC27" s="14">
        <v>0</v>
      </c>
      <c r="CD27" s="14">
        <v>0</v>
      </c>
      <c r="CE27" s="8">
        <f t="shared" ref="CE27" si="110">1000*CG27</f>
        <v>4000</v>
      </c>
      <c r="CF27" s="8">
        <f t="shared" ref="CF27" si="111">1000*CG27</f>
        <v>4000</v>
      </c>
      <c r="CG27" s="14">
        <v>4</v>
      </c>
      <c r="CH27" s="14">
        <v>0</v>
      </c>
      <c r="CI27" s="14">
        <v>0</v>
      </c>
      <c r="CJ27" s="8">
        <f t="shared" ref="CJ27" si="112">1000*CL27</f>
        <v>4000</v>
      </c>
      <c r="CK27" s="8">
        <f t="shared" ref="CK27" si="113">1000*CL27</f>
        <v>4000</v>
      </c>
      <c r="CL27" s="14">
        <v>4</v>
      </c>
      <c r="CM27" s="14">
        <v>0</v>
      </c>
      <c r="CN27" s="14">
        <v>0</v>
      </c>
      <c r="CO27" s="14">
        <v>0</v>
      </c>
      <c r="CP27" s="9">
        <f t="shared" ref="CP27" si="114">SUM(U27,AB27,AI27,AP27,AW27,BD27,BK27,BP27,BU27,BZ27,CE27,CJ27)</f>
        <v>20000</v>
      </c>
      <c r="CQ27" s="9">
        <f t="shared" ref="CQ27" si="115">SUM(V27,AC27,AJ27,AQ27,AX27,BE27,BL27,BQ27,BV27,CA27,CF27,CK27)</f>
        <v>20000</v>
      </c>
      <c r="CR27" s="14">
        <v>2</v>
      </c>
      <c r="CS27" s="14">
        <v>0</v>
      </c>
      <c r="CT27" s="14">
        <v>0</v>
      </c>
      <c r="CU27" s="14">
        <v>0</v>
      </c>
      <c r="CV27" s="8">
        <f t="shared" ref="CV27" si="116">CT27-CP27</f>
        <v>-20000</v>
      </c>
      <c r="CW27" s="8">
        <f t="shared" ref="CW27" si="117">CU27-CQ27</f>
        <v>-20000</v>
      </c>
      <c r="CX27" s="14">
        <v>0</v>
      </c>
      <c r="CY27" s="14">
        <v>0</v>
      </c>
      <c r="CZ27" s="14">
        <v>0</v>
      </c>
      <c r="DA27" s="14">
        <v>0</v>
      </c>
      <c r="DB27" s="8">
        <f t="shared" ref="DB27" si="118">CP27</f>
        <v>20000</v>
      </c>
      <c r="DC27" s="8">
        <f t="shared" ref="DC27" si="119">CQ27</f>
        <v>20000</v>
      </c>
    </row>
    <row r="28" spans="1:107" s="4" customFormat="1" ht="26">
      <c r="C28" s="5"/>
      <c r="D28" s="26" t="s">
        <v>199</v>
      </c>
      <c r="E28" s="5"/>
      <c r="F28" s="22" t="s">
        <v>197</v>
      </c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>
        <v>0</v>
      </c>
      <c r="T28" s="8">
        <v>0</v>
      </c>
      <c r="U28" s="8">
        <f>SUM(U3:U26)</f>
        <v>78000</v>
      </c>
      <c r="V28" s="8">
        <f>SUM(V3:V26)</f>
        <v>78000</v>
      </c>
      <c r="W28" s="8">
        <v>78</v>
      </c>
      <c r="X28" s="8">
        <v>0</v>
      </c>
      <c r="Y28" s="8">
        <v>0</v>
      </c>
      <c r="Z28" s="8">
        <v>0</v>
      </c>
      <c r="AA28" s="8">
        <v>0</v>
      </c>
      <c r="AB28" s="8">
        <f>SUM(AB3:AB26)</f>
        <v>93000</v>
      </c>
      <c r="AC28" s="8">
        <f>SUM(AC3:AC26)</f>
        <v>93000</v>
      </c>
      <c r="AD28" s="8">
        <v>88</v>
      </c>
      <c r="AE28" s="8">
        <v>0</v>
      </c>
      <c r="AF28" s="8">
        <v>0</v>
      </c>
      <c r="AG28" s="8">
        <v>0</v>
      </c>
      <c r="AH28" s="8">
        <v>0</v>
      </c>
      <c r="AI28" s="8">
        <f>SUM(AI3:AI26)</f>
        <v>93000</v>
      </c>
      <c r="AJ28" s="8">
        <f>SUM(AJ3:AJ26)</f>
        <v>93000</v>
      </c>
      <c r="AK28" s="8">
        <v>88</v>
      </c>
      <c r="AL28" s="8">
        <v>0</v>
      </c>
      <c r="AM28" s="8">
        <v>0</v>
      </c>
      <c r="AN28" s="8">
        <v>0</v>
      </c>
      <c r="AO28" s="8">
        <v>0</v>
      </c>
      <c r="AP28" s="8">
        <f>SUM(AP3:AP26)</f>
        <v>99000</v>
      </c>
      <c r="AQ28" s="8">
        <f>SUM(AQ3:AQ26)</f>
        <v>99000</v>
      </c>
      <c r="AR28" s="8">
        <v>94</v>
      </c>
      <c r="AS28" s="8">
        <v>0</v>
      </c>
      <c r="AT28" s="8">
        <v>0</v>
      </c>
      <c r="AU28" s="8">
        <v>0</v>
      </c>
      <c r="AV28" s="8">
        <v>0</v>
      </c>
      <c r="AW28" s="8">
        <f>SUM(AW3:AW26)</f>
        <v>99000</v>
      </c>
      <c r="AX28" s="8">
        <f>SUM(AX3:AX26)</f>
        <v>99000</v>
      </c>
      <c r="AY28" s="8">
        <v>94</v>
      </c>
      <c r="AZ28" s="8">
        <v>818.01</v>
      </c>
      <c r="BA28" s="8">
        <v>0</v>
      </c>
      <c r="BB28" s="8">
        <v>0</v>
      </c>
      <c r="BC28" s="8">
        <v>0</v>
      </c>
      <c r="BD28" s="8">
        <f>SUM(BD3:BD26)</f>
        <v>103000</v>
      </c>
      <c r="BE28" s="8">
        <f>SUM(BE3:BE26)</f>
        <v>103000</v>
      </c>
      <c r="BF28" s="8">
        <v>98</v>
      </c>
      <c r="BG28" s="8">
        <v>0</v>
      </c>
      <c r="BH28" s="8">
        <v>0</v>
      </c>
      <c r="BI28" s="8">
        <v>0</v>
      </c>
      <c r="BJ28" s="8">
        <v>0</v>
      </c>
      <c r="BK28" s="8">
        <f>SUM(BK3:BK26)</f>
        <v>103000</v>
      </c>
      <c r="BL28" s="8">
        <f>SUM(BL3:BL26)</f>
        <v>103000</v>
      </c>
      <c r="BM28" s="8">
        <v>98</v>
      </c>
      <c r="BN28" s="8">
        <v>0</v>
      </c>
      <c r="BO28" s="8">
        <v>0</v>
      </c>
      <c r="BP28" s="8">
        <f>SUM(BP3:BP26)</f>
        <v>106000</v>
      </c>
      <c r="BQ28" s="8">
        <f>SUM(BQ3:BQ26)</f>
        <v>106000</v>
      </c>
      <c r="BR28" s="8">
        <v>97</v>
      </c>
      <c r="BS28" s="8">
        <v>0</v>
      </c>
      <c r="BT28" s="8">
        <v>0</v>
      </c>
      <c r="BU28" s="8">
        <f>SUM(BU3:BU26)*(BU35/100)</f>
        <v>109440</v>
      </c>
      <c r="BV28" s="8">
        <f>SUM(BV3:BV26)*(BV35/100)</f>
        <v>106932</v>
      </c>
      <c r="BW28" s="8">
        <v>105</v>
      </c>
      <c r="BX28" s="8">
        <v>0</v>
      </c>
      <c r="BY28" s="8">
        <v>0</v>
      </c>
      <c r="BZ28" s="8">
        <f>SUM(BZ3:BZ26)*(BZ35/100)</f>
        <v>109440</v>
      </c>
      <c r="CA28" s="8">
        <f>SUM(CA3:CA26)*(CA35/100)</f>
        <v>106932</v>
      </c>
      <c r="CB28" s="8">
        <v>105</v>
      </c>
      <c r="CC28" s="8">
        <v>0</v>
      </c>
      <c r="CD28" s="8">
        <v>0</v>
      </c>
      <c r="CE28" s="8">
        <f>SUM(CE3:CE26)*(CE35/100)</f>
        <v>109440</v>
      </c>
      <c r="CF28" s="8">
        <f>SUM(CF3:CF26)*(CF35/100)</f>
        <v>106932</v>
      </c>
      <c r="CG28" s="8">
        <v>105</v>
      </c>
      <c r="CH28" s="8">
        <v>0</v>
      </c>
      <c r="CI28" s="8">
        <v>0</v>
      </c>
      <c r="CJ28" s="8">
        <f>SUM(CJ3:CJ26)*(CJ35/100)</f>
        <v>109440</v>
      </c>
      <c r="CK28" s="8">
        <f>SUM(CK3:CK26)*(CK35/100)</f>
        <v>106932</v>
      </c>
      <c r="CL28" s="8">
        <v>105</v>
      </c>
      <c r="CM28" s="8">
        <v>0</v>
      </c>
      <c r="CN28" s="8">
        <v>0</v>
      </c>
      <c r="CO28" s="8">
        <v>0</v>
      </c>
      <c r="CP28" s="9">
        <f>SUM(U28,AB28,AI28,AP28,AW28,BD28,BK28,BP28,BU28,BZ28,CE28,CJ28)</f>
        <v>1211760</v>
      </c>
      <c r="CQ28" s="9">
        <f t="shared" ref="CQ28" si="120">SUM(V28,AC28,AJ28,AQ28,AX28,BE28,BL28,BQ28,BV28,CA28,CF28,CK28)</f>
        <v>1201728</v>
      </c>
      <c r="CR28" s="8">
        <v>96.3</v>
      </c>
      <c r="CS28" s="8">
        <v>0</v>
      </c>
      <c r="CT28" s="8">
        <v>0</v>
      </c>
      <c r="CU28" s="8">
        <v>0</v>
      </c>
      <c r="CV28" s="8">
        <f>CT28-CP28</f>
        <v>-1211760</v>
      </c>
      <c r="CW28" s="8">
        <f>CU28-CQ28</f>
        <v>-1201728</v>
      </c>
      <c r="CX28" s="8">
        <v>0</v>
      </c>
      <c r="CY28" s="8">
        <v>0</v>
      </c>
      <c r="CZ28" s="8">
        <v>0</v>
      </c>
      <c r="DA28" s="8">
        <v>0</v>
      </c>
      <c r="DB28" s="8">
        <f t="shared" ref="DB28:DB34" si="121">CP28</f>
        <v>1211760</v>
      </c>
      <c r="DC28" s="8">
        <f t="shared" ref="DC28:DC34" si="122">CQ28</f>
        <v>1201728</v>
      </c>
    </row>
    <row r="29" spans="1:107" s="10" customFormat="1">
      <c r="C29" s="11"/>
      <c r="D29" s="11" t="s">
        <v>174</v>
      </c>
      <c r="E29" s="11"/>
      <c r="F29" s="27" t="s">
        <v>200</v>
      </c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3"/>
      <c r="R29" s="13"/>
      <c r="S29" s="14"/>
      <c r="T29" s="14"/>
      <c r="U29" s="14">
        <f>U28</f>
        <v>78000</v>
      </c>
      <c r="V29" s="14">
        <f>V28</f>
        <v>78000</v>
      </c>
      <c r="W29" s="14">
        <v>78</v>
      </c>
      <c r="X29" s="14">
        <v>0</v>
      </c>
      <c r="Y29" s="14">
        <v>0</v>
      </c>
      <c r="Z29" s="14">
        <v>0</v>
      </c>
      <c r="AA29" s="14">
        <v>0</v>
      </c>
      <c r="AB29" s="14">
        <f>AB28</f>
        <v>93000</v>
      </c>
      <c r="AC29" s="14">
        <f>AC28</f>
        <v>93000</v>
      </c>
      <c r="AD29" s="14">
        <v>88</v>
      </c>
      <c r="AE29" s="14">
        <v>0</v>
      </c>
      <c r="AF29" s="14">
        <v>0</v>
      </c>
      <c r="AG29" s="14">
        <v>0</v>
      </c>
      <c r="AH29" s="8">
        <v>0</v>
      </c>
      <c r="AI29" s="14">
        <f>AI28</f>
        <v>93000</v>
      </c>
      <c r="AJ29" s="14">
        <f>AJ28</f>
        <v>93000</v>
      </c>
      <c r="AK29" s="14">
        <v>88</v>
      </c>
      <c r="AL29" s="14">
        <v>0</v>
      </c>
      <c r="AM29" s="14">
        <v>0</v>
      </c>
      <c r="AN29" s="14">
        <v>0</v>
      </c>
      <c r="AO29" s="8">
        <v>0</v>
      </c>
      <c r="AP29" s="14">
        <f>AP28</f>
        <v>99000</v>
      </c>
      <c r="AQ29" s="14">
        <f>AQ28</f>
        <v>99000</v>
      </c>
      <c r="AR29" s="14">
        <v>94</v>
      </c>
      <c r="AS29" s="14">
        <v>0</v>
      </c>
      <c r="AT29" s="14">
        <v>0</v>
      </c>
      <c r="AU29" s="14">
        <v>0</v>
      </c>
      <c r="AV29" s="8">
        <v>0</v>
      </c>
      <c r="AW29" s="14">
        <f>AW28</f>
        <v>99000</v>
      </c>
      <c r="AX29" s="14">
        <f>AX28</f>
        <v>99000</v>
      </c>
      <c r="AY29" s="14">
        <v>94</v>
      </c>
      <c r="AZ29" s="14">
        <v>818.01</v>
      </c>
      <c r="BA29" s="14">
        <v>0</v>
      </c>
      <c r="BB29" s="14">
        <v>0</v>
      </c>
      <c r="BC29" s="8">
        <v>0</v>
      </c>
      <c r="BD29" s="14">
        <f>BD28</f>
        <v>103000</v>
      </c>
      <c r="BE29" s="14">
        <f>BE28</f>
        <v>103000</v>
      </c>
      <c r="BF29" s="14">
        <v>98</v>
      </c>
      <c r="BG29" s="14">
        <v>0</v>
      </c>
      <c r="BH29" s="14">
        <v>0</v>
      </c>
      <c r="BI29" s="14">
        <v>0</v>
      </c>
      <c r="BJ29" s="8">
        <v>0</v>
      </c>
      <c r="BK29" s="14">
        <f>BK28</f>
        <v>103000</v>
      </c>
      <c r="BL29" s="14">
        <f>BL28</f>
        <v>103000</v>
      </c>
      <c r="BM29" s="14">
        <v>98</v>
      </c>
      <c r="BN29" s="14">
        <v>0</v>
      </c>
      <c r="BO29" s="14">
        <v>0</v>
      </c>
      <c r="BP29" s="14">
        <f>BP28</f>
        <v>106000</v>
      </c>
      <c r="BQ29" s="14">
        <f>BQ28</f>
        <v>106000</v>
      </c>
      <c r="BR29" s="14">
        <v>97</v>
      </c>
      <c r="BS29" s="14">
        <v>0</v>
      </c>
      <c r="BT29" s="14">
        <v>0</v>
      </c>
      <c r="BU29" s="14">
        <f>BU28</f>
        <v>109440</v>
      </c>
      <c r="BV29" s="14">
        <f>BV28</f>
        <v>106932</v>
      </c>
      <c r="BW29" s="14">
        <v>105</v>
      </c>
      <c r="BX29" s="14">
        <v>0</v>
      </c>
      <c r="BY29" s="14">
        <v>0</v>
      </c>
      <c r="BZ29" s="14">
        <f>BZ28</f>
        <v>109440</v>
      </c>
      <c r="CA29" s="14">
        <f>CA28</f>
        <v>106932</v>
      </c>
      <c r="CB29" s="14">
        <v>105</v>
      </c>
      <c r="CC29" s="14">
        <v>0</v>
      </c>
      <c r="CD29" s="14">
        <v>0</v>
      </c>
      <c r="CE29" s="14">
        <f>CE28</f>
        <v>109440</v>
      </c>
      <c r="CF29" s="14">
        <f>CF28</f>
        <v>106932</v>
      </c>
      <c r="CG29" s="14">
        <v>105</v>
      </c>
      <c r="CH29" s="14">
        <v>0</v>
      </c>
      <c r="CI29" s="14">
        <v>0</v>
      </c>
      <c r="CJ29" s="14">
        <f>CJ28</f>
        <v>109440</v>
      </c>
      <c r="CK29" s="14">
        <f>CK28</f>
        <v>106932</v>
      </c>
      <c r="CL29" s="14">
        <v>105</v>
      </c>
      <c r="CM29" s="14">
        <v>0</v>
      </c>
      <c r="CN29" s="14">
        <v>0</v>
      </c>
      <c r="CO29" s="14">
        <v>0</v>
      </c>
      <c r="CP29" s="15">
        <f>CP28</f>
        <v>1211760</v>
      </c>
      <c r="CQ29" s="14">
        <f>CQ28</f>
        <v>1201728</v>
      </c>
      <c r="CR29" s="14">
        <v>96.4</v>
      </c>
      <c r="CS29" s="14">
        <v>0</v>
      </c>
      <c r="CT29" s="14">
        <v>0</v>
      </c>
      <c r="CU29" s="14">
        <v>0</v>
      </c>
      <c r="CV29" s="14">
        <f>CV28</f>
        <v>-1211760</v>
      </c>
      <c r="CW29" s="14">
        <f>CW28</f>
        <v>-1201728</v>
      </c>
      <c r="CX29" s="14">
        <v>0</v>
      </c>
      <c r="CY29" s="14">
        <v>0</v>
      </c>
      <c r="CZ29" s="14">
        <v>0</v>
      </c>
      <c r="DA29" s="14">
        <v>0</v>
      </c>
      <c r="DB29" s="8">
        <f t="shared" si="121"/>
        <v>1211760</v>
      </c>
      <c r="DC29" s="8">
        <f t="shared" si="122"/>
        <v>1201728</v>
      </c>
    </row>
    <row r="30" spans="1:107" s="4" customFormat="1">
      <c r="C30" s="5"/>
      <c r="D30" s="5" t="s">
        <v>175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7"/>
      <c r="R30" s="7"/>
      <c r="S30" s="8"/>
      <c r="T30" s="8"/>
      <c r="U30" s="8">
        <v>0</v>
      </c>
      <c r="V30" s="16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16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16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16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16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16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16">
        <v>0</v>
      </c>
      <c r="BM30" s="8">
        <v>0</v>
      </c>
      <c r="BN30" s="8">
        <v>0</v>
      </c>
      <c r="BO30" s="8">
        <v>0</v>
      </c>
      <c r="BP30" s="8">
        <v>0</v>
      </c>
      <c r="BQ30" s="16">
        <v>0</v>
      </c>
      <c r="BR30" s="8">
        <v>0</v>
      </c>
      <c r="BS30" s="8">
        <v>0</v>
      </c>
      <c r="BT30" s="8">
        <v>0</v>
      </c>
      <c r="BU30" s="8">
        <v>0</v>
      </c>
      <c r="BV30" s="16">
        <v>0</v>
      </c>
      <c r="BW30" s="8">
        <v>0</v>
      </c>
      <c r="BX30" s="8">
        <v>0</v>
      </c>
      <c r="BY30" s="8">
        <v>0</v>
      </c>
      <c r="BZ30" s="8">
        <v>0</v>
      </c>
      <c r="CA30" s="16">
        <v>0</v>
      </c>
      <c r="CB30" s="8">
        <v>0</v>
      </c>
      <c r="CC30" s="8">
        <v>0</v>
      </c>
      <c r="CD30" s="8">
        <v>0</v>
      </c>
      <c r="CE30" s="8">
        <v>0</v>
      </c>
      <c r="CF30" s="16">
        <v>0</v>
      </c>
      <c r="CG30" s="8">
        <v>0</v>
      </c>
      <c r="CH30" s="8">
        <v>0</v>
      </c>
      <c r="CI30" s="8">
        <v>0</v>
      </c>
      <c r="CJ30" s="8">
        <v>0</v>
      </c>
      <c r="CK30" s="16">
        <v>0</v>
      </c>
      <c r="CL30" s="8">
        <v>0</v>
      </c>
      <c r="CM30" s="8">
        <v>0</v>
      </c>
      <c r="CN30" s="8">
        <v>0</v>
      </c>
      <c r="CO30" s="8">
        <v>0</v>
      </c>
      <c r="CP30" s="9">
        <v>0</v>
      </c>
      <c r="CQ30" s="8">
        <v>0</v>
      </c>
      <c r="CR30" s="8">
        <v>0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0</v>
      </c>
      <c r="DB30" s="8">
        <f t="shared" si="121"/>
        <v>0</v>
      </c>
      <c r="DC30" s="8">
        <f t="shared" si="122"/>
        <v>0</v>
      </c>
    </row>
    <row r="31" spans="1:107" s="10" customFormat="1">
      <c r="C31" s="11"/>
      <c r="D31" s="11" t="s">
        <v>176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2"/>
      <c r="Q31" s="13"/>
      <c r="R31" s="13"/>
      <c r="S31" s="14"/>
      <c r="T31" s="14"/>
      <c r="U31" s="14">
        <f>1000*W31</f>
        <v>87000</v>
      </c>
      <c r="V31" s="14">
        <f>W31*1000</f>
        <v>87000</v>
      </c>
      <c r="W31" s="14">
        <v>87</v>
      </c>
      <c r="X31" s="14">
        <v>0</v>
      </c>
      <c r="Y31" s="14">
        <v>0</v>
      </c>
      <c r="Z31" s="14">
        <v>0</v>
      </c>
      <c r="AA31" s="14">
        <v>0</v>
      </c>
      <c r="AB31" s="14">
        <f>1000*AD31</f>
        <v>87000</v>
      </c>
      <c r="AC31" s="14">
        <f>AD31*1000</f>
        <v>87000</v>
      </c>
      <c r="AD31" s="14">
        <v>87</v>
      </c>
      <c r="AE31" s="14">
        <v>0</v>
      </c>
      <c r="AF31" s="14">
        <v>0</v>
      </c>
      <c r="AG31" s="14">
        <v>0</v>
      </c>
      <c r="AH31" s="8">
        <v>0</v>
      </c>
      <c r="AI31" s="14">
        <f>1000*AK31</f>
        <v>91000</v>
      </c>
      <c r="AJ31" s="14">
        <f>AK31*1000</f>
        <v>91000</v>
      </c>
      <c r="AK31" s="14">
        <v>91</v>
      </c>
      <c r="AL31" s="14">
        <v>0</v>
      </c>
      <c r="AM31" s="14">
        <v>0</v>
      </c>
      <c r="AN31" s="14">
        <v>0</v>
      </c>
      <c r="AO31" s="14">
        <v>0</v>
      </c>
      <c r="AP31" s="14">
        <f>1000*AR31</f>
        <v>91000</v>
      </c>
      <c r="AQ31" s="14">
        <f>AR31*1000</f>
        <v>91000</v>
      </c>
      <c r="AR31" s="14">
        <v>91</v>
      </c>
      <c r="AS31" s="14">
        <v>0</v>
      </c>
      <c r="AT31" s="14">
        <v>0</v>
      </c>
      <c r="AU31" s="14">
        <v>0</v>
      </c>
      <c r="AV31" s="14">
        <v>0</v>
      </c>
      <c r="AW31" s="14">
        <f>1000*AY31</f>
        <v>91000</v>
      </c>
      <c r="AX31" s="14">
        <f>AY31*1000</f>
        <v>91000</v>
      </c>
      <c r="AY31" s="14">
        <v>91</v>
      </c>
      <c r="AZ31" s="14">
        <v>0</v>
      </c>
      <c r="BA31" s="14">
        <v>0</v>
      </c>
      <c r="BB31" s="14">
        <v>0</v>
      </c>
      <c r="BC31" s="14">
        <v>0</v>
      </c>
      <c r="BD31" s="14">
        <f>1000*BF31</f>
        <v>91000</v>
      </c>
      <c r="BE31" s="14">
        <f>BF31*1000</f>
        <v>91000</v>
      </c>
      <c r="BF31" s="14">
        <v>91</v>
      </c>
      <c r="BG31" s="14">
        <v>0</v>
      </c>
      <c r="BH31" s="14">
        <v>0</v>
      </c>
      <c r="BI31" s="14">
        <v>0</v>
      </c>
      <c r="BJ31" s="8">
        <v>0</v>
      </c>
      <c r="BK31" s="14">
        <f>1000*BM31</f>
        <v>91000</v>
      </c>
      <c r="BL31" s="14">
        <f>BM31*1000</f>
        <v>91000</v>
      </c>
      <c r="BM31" s="14">
        <v>91</v>
      </c>
      <c r="BN31" s="14">
        <v>0</v>
      </c>
      <c r="BO31" s="14">
        <v>0</v>
      </c>
      <c r="BP31" s="14">
        <f>1000*BR31</f>
        <v>95000</v>
      </c>
      <c r="BQ31" s="14">
        <f>BR31*1000</f>
        <v>95000</v>
      </c>
      <c r="BR31" s="14">
        <v>95</v>
      </c>
      <c r="BS31" s="14">
        <v>0</v>
      </c>
      <c r="BT31" s="14">
        <v>0</v>
      </c>
      <c r="BU31" s="14">
        <f>1000*BW31</f>
        <v>95000</v>
      </c>
      <c r="BV31" s="14">
        <f>BW31*1000</f>
        <v>95000</v>
      </c>
      <c r="BW31" s="14">
        <v>95</v>
      </c>
      <c r="BX31" s="14">
        <v>0</v>
      </c>
      <c r="BY31" s="14">
        <v>0</v>
      </c>
      <c r="BZ31" s="14">
        <f>1000*CB31</f>
        <v>95000</v>
      </c>
      <c r="CA31" s="14">
        <f>CB31*1000</f>
        <v>95000</v>
      </c>
      <c r="CB31" s="14">
        <v>95</v>
      </c>
      <c r="CC31" s="14">
        <v>0</v>
      </c>
      <c r="CD31" s="14">
        <v>0</v>
      </c>
      <c r="CE31" s="14">
        <f>1000*CG31</f>
        <v>95000</v>
      </c>
      <c r="CF31" s="14">
        <f>CG31*1000</f>
        <v>95000</v>
      </c>
      <c r="CG31" s="14">
        <v>95</v>
      </c>
      <c r="CH31" s="14">
        <v>0</v>
      </c>
      <c r="CI31" s="14">
        <v>0</v>
      </c>
      <c r="CJ31" s="14">
        <f>1000*CL31</f>
        <v>95000</v>
      </c>
      <c r="CK31" s="14">
        <f>CL31*1000</f>
        <v>95000</v>
      </c>
      <c r="CL31" s="14">
        <v>95</v>
      </c>
      <c r="CM31" s="14">
        <v>0</v>
      </c>
      <c r="CN31" s="14">
        <v>0</v>
      </c>
      <c r="CO31" s="14">
        <v>0</v>
      </c>
      <c r="CP31" s="14">
        <f>1000*CR31</f>
        <v>92000</v>
      </c>
      <c r="CQ31" s="14">
        <f>CR31*1000</f>
        <v>92000</v>
      </c>
      <c r="CR31" s="14">
        <v>92</v>
      </c>
      <c r="CS31" s="14">
        <v>0</v>
      </c>
      <c r="CT31" s="14">
        <v>0</v>
      </c>
      <c r="CU31" s="14">
        <v>0</v>
      </c>
      <c r="CV31" s="14">
        <v>0</v>
      </c>
      <c r="CW31" s="14">
        <v>0</v>
      </c>
      <c r="CX31" s="14">
        <v>0</v>
      </c>
      <c r="CY31" s="14">
        <v>0</v>
      </c>
      <c r="CZ31" s="14">
        <v>0</v>
      </c>
      <c r="DA31" s="14">
        <v>0</v>
      </c>
      <c r="DB31" s="8">
        <f t="shared" si="121"/>
        <v>92000</v>
      </c>
      <c r="DC31" s="8">
        <f t="shared" si="122"/>
        <v>92000</v>
      </c>
    </row>
    <row r="32" spans="1:107" s="4" customFormat="1">
      <c r="C32" s="5"/>
      <c r="D32" s="5" t="s">
        <v>177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/>
      <c r="T32" s="8"/>
      <c r="U32" s="8">
        <f>U31-U28</f>
        <v>9000</v>
      </c>
      <c r="V32" s="8">
        <f>V31-V28</f>
        <v>9000</v>
      </c>
      <c r="W32" s="8">
        <v>9</v>
      </c>
      <c r="X32" s="8">
        <v>0</v>
      </c>
      <c r="Y32" s="8">
        <v>0</v>
      </c>
      <c r="Z32" s="8">
        <v>0</v>
      </c>
      <c r="AA32" s="8">
        <v>0</v>
      </c>
      <c r="AB32" s="8">
        <f>AB31-AB28</f>
        <v>-6000</v>
      </c>
      <c r="AC32" s="8">
        <f>AC31-AC28</f>
        <v>-6000</v>
      </c>
      <c r="AD32" s="8">
        <v>-1</v>
      </c>
      <c r="AE32" s="8">
        <v>0</v>
      </c>
      <c r="AF32" s="8">
        <v>0</v>
      </c>
      <c r="AG32" s="8">
        <v>0</v>
      </c>
      <c r="AH32" s="8">
        <v>0</v>
      </c>
      <c r="AI32" s="8">
        <f>AI31-AI28</f>
        <v>-2000</v>
      </c>
      <c r="AJ32" s="8">
        <f>AJ31-AJ28</f>
        <v>-2000</v>
      </c>
      <c r="AK32" s="8">
        <v>3</v>
      </c>
      <c r="AL32" s="8">
        <v>0</v>
      </c>
      <c r="AM32" s="8">
        <v>0</v>
      </c>
      <c r="AN32" s="8">
        <v>0</v>
      </c>
      <c r="AO32" s="8">
        <v>0</v>
      </c>
      <c r="AP32" s="8">
        <f>AP31-AP28</f>
        <v>-8000</v>
      </c>
      <c r="AQ32" s="8">
        <f>AQ31-AQ28</f>
        <v>-8000</v>
      </c>
      <c r="AR32" s="8">
        <v>-3</v>
      </c>
      <c r="AS32" s="8">
        <v>0</v>
      </c>
      <c r="AT32" s="8">
        <v>0</v>
      </c>
      <c r="AU32" s="8">
        <v>0</v>
      </c>
      <c r="AV32" s="8">
        <v>0</v>
      </c>
      <c r="AW32" s="8">
        <f>AW31-AW28</f>
        <v>-8000</v>
      </c>
      <c r="AX32" s="8">
        <f>AX31-AX28</f>
        <v>-8000</v>
      </c>
      <c r="AY32" s="8">
        <v>-3</v>
      </c>
      <c r="AZ32" s="8">
        <v>0</v>
      </c>
      <c r="BA32" s="8">
        <v>0</v>
      </c>
      <c r="BB32" s="8">
        <v>0</v>
      </c>
      <c r="BC32" s="8">
        <v>0</v>
      </c>
      <c r="BD32" s="8">
        <f>BD31-BD28</f>
        <v>-12000</v>
      </c>
      <c r="BE32" s="8">
        <f>BE31-BE28</f>
        <v>-12000</v>
      </c>
      <c r="BF32" s="8">
        <v>-7</v>
      </c>
      <c r="BG32" s="8">
        <v>0</v>
      </c>
      <c r="BH32" s="8">
        <v>0</v>
      </c>
      <c r="BI32" s="8">
        <v>0</v>
      </c>
      <c r="BJ32" s="8">
        <v>0</v>
      </c>
      <c r="BK32" s="8">
        <f>BK31-BK28</f>
        <v>-12000</v>
      </c>
      <c r="BL32" s="8">
        <f>BL31-BL28</f>
        <v>-12000</v>
      </c>
      <c r="BM32" s="8">
        <v>-7</v>
      </c>
      <c r="BN32" s="8">
        <v>0</v>
      </c>
      <c r="BO32" s="8">
        <v>0</v>
      </c>
      <c r="BP32" s="8">
        <f>BP31-BP28</f>
        <v>-11000</v>
      </c>
      <c r="BQ32" s="8">
        <f>BQ31-BQ28</f>
        <v>-11000</v>
      </c>
      <c r="BR32" s="8">
        <v>-2</v>
      </c>
      <c r="BS32" s="8">
        <v>0</v>
      </c>
      <c r="BT32" s="8">
        <v>0</v>
      </c>
      <c r="BU32" s="8">
        <f>BU31-BU28</f>
        <v>-14440</v>
      </c>
      <c r="BV32" s="8">
        <f>BV31-BV28</f>
        <v>-11932</v>
      </c>
      <c r="BW32" s="8">
        <v>-10</v>
      </c>
      <c r="BX32" s="8">
        <v>0</v>
      </c>
      <c r="BY32" s="8">
        <v>0</v>
      </c>
      <c r="BZ32" s="8">
        <f>BZ31-BZ28</f>
        <v>-14440</v>
      </c>
      <c r="CA32" s="8">
        <f>CA31-CA28</f>
        <v>-11932</v>
      </c>
      <c r="CB32" s="8">
        <v>-10</v>
      </c>
      <c r="CC32" s="8">
        <v>0</v>
      </c>
      <c r="CD32" s="8">
        <v>0</v>
      </c>
      <c r="CE32" s="8">
        <f>CE31-CE28</f>
        <v>-14440</v>
      </c>
      <c r="CF32" s="8">
        <f>CF31-CF28</f>
        <v>-11932</v>
      </c>
      <c r="CG32" s="8">
        <v>-10</v>
      </c>
      <c r="CH32" s="8">
        <v>0</v>
      </c>
      <c r="CI32" s="8">
        <v>0</v>
      </c>
      <c r="CJ32" s="8">
        <f>CJ31-CJ28</f>
        <v>-14440</v>
      </c>
      <c r="CK32" s="8">
        <f>CK31-CK28</f>
        <v>-11932</v>
      </c>
      <c r="CL32" s="8">
        <v>-10</v>
      </c>
      <c r="CM32" s="8">
        <v>0</v>
      </c>
      <c r="CN32" s="8">
        <v>0</v>
      </c>
      <c r="CO32" s="8">
        <v>0</v>
      </c>
      <c r="CP32" s="8">
        <f>CP31-CP28</f>
        <v>-1119760</v>
      </c>
      <c r="CQ32" s="8">
        <f>CQ31-CQ28</f>
        <v>-1109728</v>
      </c>
      <c r="CR32" s="8">
        <v>-4.3</v>
      </c>
      <c r="CS32" s="8">
        <v>0</v>
      </c>
      <c r="CT32" s="8">
        <v>0</v>
      </c>
      <c r="CU32" s="8">
        <v>0</v>
      </c>
      <c r="CV32" s="8">
        <v>0</v>
      </c>
      <c r="CW32" s="8">
        <v>0</v>
      </c>
      <c r="CX32" s="8">
        <v>0</v>
      </c>
      <c r="CY32" s="8">
        <v>0</v>
      </c>
      <c r="CZ32" s="8">
        <v>0</v>
      </c>
      <c r="DA32" s="8">
        <v>0</v>
      </c>
      <c r="DB32" s="8">
        <f t="shared" si="121"/>
        <v>-1119760</v>
      </c>
      <c r="DC32" s="8">
        <f t="shared" si="122"/>
        <v>-1109728</v>
      </c>
    </row>
    <row r="33" spans="3:107" s="10" customFormat="1">
      <c r="C33" s="11"/>
      <c r="D33" s="11" t="s">
        <v>178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14">
        <f>U28</f>
        <v>78000</v>
      </c>
      <c r="V33" s="14">
        <f>V28</f>
        <v>78000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f>AB28</f>
        <v>93000</v>
      </c>
      <c r="AC33" s="14">
        <f>AC28</f>
        <v>93000</v>
      </c>
      <c r="AD33" s="14">
        <v>0</v>
      </c>
      <c r="AE33" s="14">
        <v>0</v>
      </c>
      <c r="AF33" s="14">
        <v>0</v>
      </c>
      <c r="AG33" s="14">
        <v>0</v>
      </c>
      <c r="AH33" s="8">
        <v>0</v>
      </c>
      <c r="AI33" s="14">
        <f>AI28</f>
        <v>93000</v>
      </c>
      <c r="AJ33" s="14">
        <f>AJ28</f>
        <v>93000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f>AP28</f>
        <v>99000</v>
      </c>
      <c r="AQ33" s="14">
        <f>AQ28</f>
        <v>99000</v>
      </c>
      <c r="AR33" s="14">
        <v>0</v>
      </c>
      <c r="AS33" s="14">
        <v>0</v>
      </c>
      <c r="AT33" s="14">
        <v>0</v>
      </c>
      <c r="AU33" s="14">
        <v>0</v>
      </c>
      <c r="AV33" s="14">
        <v>0</v>
      </c>
      <c r="AW33" s="14">
        <f>AW28</f>
        <v>99000</v>
      </c>
      <c r="AX33" s="14">
        <f>AX28</f>
        <v>99000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f>BD28</f>
        <v>103000</v>
      </c>
      <c r="BE33" s="14">
        <f>BE28</f>
        <v>103000</v>
      </c>
      <c r="BF33" s="14">
        <v>0</v>
      </c>
      <c r="BG33" s="14">
        <v>0</v>
      </c>
      <c r="BH33" s="14">
        <v>0</v>
      </c>
      <c r="BI33" s="14">
        <v>0</v>
      </c>
      <c r="BJ33" s="8">
        <v>0</v>
      </c>
      <c r="BK33" s="14">
        <f>BK28</f>
        <v>103000</v>
      </c>
      <c r="BL33" s="14">
        <f>BL28</f>
        <v>103000</v>
      </c>
      <c r="BM33" s="14">
        <v>0</v>
      </c>
      <c r="BN33" s="14">
        <v>0</v>
      </c>
      <c r="BO33" s="14">
        <v>0</v>
      </c>
      <c r="BP33" s="14">
        <f>BP28</f>
        <v>106000</v>
      </c>
      <c r="BQ33" s="14">
        <f>BQ28</f>
        <v>106000</v>
      </c>
      <c r="BR33" s="14">
        <v>0</v>
      </c>
      <c r="BS33" s="14">
        <v>0</v>
      </c>
      <c r="BT33" s="14">
        <v>0</v>
      </c>
      <c r="BU33" s="14">
        <f>BU28</f>
        <v>109440</v>
      </c>
      <c r="BV33" s="14">
        <f>BV28</f>
        <v>106932</v>
      </c>
      <c r="BW33" s="14">
        <v>0</v>
      </c>
      <c r="BX33" s="14">
        <v>0</v>
      </c>
      <c r="BY33" s="14">
        <v>0</v>
      </c>
      <c r="BZ33" s="14">
        <f>BZ28</f>
        <v>109440</v>
      </c>
      <c r="CA33" s="14">
        <f>CA28</f>
        <v>106932</v>
      </c>
      <c r="CB33" s="14">
        <v>0</v>
      </c>
      <c r="CC33" s="14">
        <v>0</v>
      </c>
      <c r="CD33" s="14">
        <v>0</v>
      </c>
      <c r="CE33" s="14">
        <f>CE28</f>
        <v>109440</v>
      </c>
      <c r="CF33" s="14">
        <f>CF28</f>
        <v>106932</v>
      </c>
      <c r="CG33" s="14">
        <v>0</v>
      </c>
      <c r="CH33" s="14">
        <v>0</v>
      </c>
      <c r="CI33" s="14">
        <v>0</v>
      </c>
      <c r="CJ33" s="14">
        <f>CJ28</f>
        <v>109440</v>
      </c>
      <c r="CK33" s="14">
        <f>CK28</f>
        <v>106932</v>
      </c>
      <c r="CL33" s="14">
        <v>0</v>
      </c>
      <c r="CM33" s="14">
        <v>0</v>
      </c>
      <c r="CN33" s="14">
        <v>0</v>
      </c>
      <c r="CO33" s="14">
        <v>0</v>
      </c>
      <c r="CP33" s="14">
        <f>CP28</f>
        <v>1211760</v>
      </c>
      <c r="CQ33" s="14">
        <f>CQ28</f>
        <v>1201728</v>
      </c>
      <c r="CR33" s="14">
        <v>0</v>
      </c>
      <c r="CS33" s="14">
        <v>0</v>
      </c>
      <c r="CT33" s="14">
        <v>0</v>
      </c>
      <c r="CU33" s="14">
        <v>0</v>
      </c>
      <c r="CV33" s="14">
        <v>0</v>
      </c>
      <c r="CW33" s="14">
        <v>0</v>
      </c>
      <c r="CX33" s="14">
        <v>0</v>
      </c>
      <c r="CY33" s="14">
        <v>0</v>
      </c>
      <c r="CZ33" s="14">
        <v>0</v>
      </c>
      <c r="DA33" s="14">
        <v>0</v>
      </c>
      <c r="DB33" s="8">
        <f t="shared" si="121"/>
        <v>1211760</v>
      </c>
      <c r="DC33" s="8">
        <f t="shared" si="122"/>
        <v>1201728</v>
      </c>
    </row>
    <row r="34" spans="3:107" s="4" customFormat="1">
      <c r="C34" s="5"/>
      <c r="D34" s="5" t="s">
        <v>179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7"/>
      <c r="R34" s="7"/>
      <c r="S34" s="8"/>
      <c r="T34" s="8"/>
      <c r="U34" s="8">
        <f>U31-U33</f>
        <v>9000</v>
      </c>
      <c r="V34" s="8">
        <f>V31-V33</f>
        <v>9000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f>AB31-AB33</f>
        <v>-6000</v>
      </c>
      <c r="AC34" s="8">
        <f>AC31-AC33</f>
        <v>-6000</v>
      </c>
      <c r="AD34" s="8">
        <v>0</v>
      </c>
      <c r="AE34" s="8">
        <v>0</v>
      </c>
      <c r="AF34" s="8">
        <v>0</v>
      </c>
      <c r="AG34" s="8">
        <v>0</v>
      </c>
      <c r="AH34" s="8">
        <v>0</v>
      </c>
      <c r="AI34" s="8">
        <f>AI31-AI33</f>
        <v>-2000</v>
      </c>
      <c r="AJ34" s="8">
        <f>AJ31-AJ33</f>
        <v>-2000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f>AP31-AP33</f>
        <v>-8000</v>
      </c>
      <c r="AQ34" s="8">
        <f>AQ31-AQ33</f>
        <v>-8000</v>
      </c>
      <c r="AR34" s="8">
        <v>0</v>
      </c>
      <c r="AS34" s="8">
        <v>0</v>
      </c>
      <c r="AT34" s="8">
        <v>0</v>
      </c>
      <c r="AU34" s="8">
        <v>0</v>
      </c>
      <c r="AV34" s="8">
        <v>0</v>
      </c>
      <c r="AW34" s="8">
        <f>AW31-AW33</f>
        <v>-8000</v>
      </c>
      <c r="AX34" s="8">
        <f>AX31-AX33</f>
        <v>-8000</v>
      </c>
      <c r="AY34" s="8">
        <v>0</v>
      </c>
      <c r="AZ34" s="8">
        <v>0</v>
      </c>
      <c r="BA34" s="8">
        <v>0</v>
      </c>
      <c r="BB34" s="8">
        <v>0</v>
      </c>
      <c r="BC34" s="8">
        <v>0</v>
      </c>
      <c r="BD34" s="8">
        <f>BD31-BD33</f>
        <v>-12000</v>
      </c>
      <c r="BE34" s="8">
        <f>BE31-BE33</f>
        <v>-12000</v>
      </c>
      <c r="BF34" s="8">
        <v>0</v>
      </c>
      <c r="BG34" s="8">
        <v>0</v>
      </c>
      <c r="BH34" s="8">
        <v>0</v>
      </c>
      <c r="BI34" s="8">
        <v>0</v>
      </c>
      <c r="BJ34" s="8">
        <v>0</v>
      </c>
      <c r="BK34" s="8">
        <f>BK31-BK33</f>
        <v>-12000</v>
      </c>
      <c r="BL34" s="8">
        <f>BL31-BL33</f>
        <v>-12000</v>
      </c>
      <c r="BM34" s="8">
        <v>0</v>
      </c>
      <c r="BN34" s="8">
        <v>0</v>
      </c>
      <c r="BO34" s="8">
        <v>0</v>
      </c>
      <c r="BP34" s="8">
        <f>BP31-BP33</f>
        <v>-11000</v>
      </c>
      <c r="BQ34" s="8">
        <f>BQ31-BQ33</f>
        <v>-11000</v>
      </c>
      <c r="BR34" s="8">
        <v>0</v>
      </c>
      <c r="BS34" s="8">
        <v>0</v>
      </c>
      <c r="BT34" s="8">
        <v>0</v>
      </c>
      <c r="BU34" s="8">
        <f>BU31-BU33</f>
        <v>-14440</v>
      </c>
      <c r="BV34" s="8">
        <f>BV31-BV33</f>
        <v>-11932</v>
      </c>
      <c r="BW34" s="8">
        <v>0</v>
      </c>
      <c r="BX34" s="8">
        <v>0</v>
      </c>
      <c r="BY34" s="8">
        <v>0</v>
      </c>
      <c r="BZ34" s="8">
        <f>BZ31-BZ33</f>
        <v>-14440</v>
      </c>
      <c r="CA34" s="8">
        <f>CA31-CA33</f>
        <v>-11932</v>
      </c>
      <c r="CB34" s="8">
        <v>0</v>
      </c>
      <c r="CC34" s="8">
        <v>0</v>
      </c>
      <c r="CD34" s="8">
        <v>0</v>
      </c>
      <c r="CE34" s="8">
        <f>CE31-CE33</f>
        <v>-14440</v>
      </c>
      <c r="CF34" s="8">
        <f>CF31-CF33</f>
        <v>-11932</v>
      </c>
      <c r="CG34" s="8">
        <v>0</v>
      </c>
      <c r="CH34" s="8">
        <v>0</v>
      </c>
      <c r="CI34" s="8">
        <v>0</v>
      </c>
      <c r="CJ34" s="8">
        <f>CJ31-CJ33</f>
        <v>-14440</v>
      </c>
      <c r="CK34" s="8">
        <f>CK31-CK33</f>
        <v>-11932</v>
      </c>
      <c r="CL34" s="8">
        <v>0</v>
      </c>
      <c r="CM34" s="8">
        <v>0</v>
      </c>
      <c r="CN34" s="8">
        <v>0</v>
      </c>
      <c r="CO34" s="8">
        <v>0</v>
      </c>
      <c r="CP34" s="8">
        <f>CP31-CP33</f>
        <v>-1119760</v>
      </c>
      <c r="CQ34" s="8">
        <f>CQ31-CQ33</f>
        <v>-1109728</v>
      </c>
      <c r="CR34" s="8">
        <v>0</v>
      </c>
      <c r="CS34" s="8">
        <v>0</v>
      </c>
      <c r="CT34" s="8">
        <v>0</v>
      </c>
      <c r="CU34" s="8">
        <v>0</v>
      </c>
      <c r="CV34" s="8">
        <v>0</v>
      </c>
      <c r="CW34" s="8">
        <v>0</v>
      </c>
      <c r="CX34" s="8">
        <v>0</v>
      </c>
      <c r="CY34" s="8">
        <v>0</v>
      </c>
      <c r="CZ34" s="8">
        <v>0</v>
      </c>
      <c r="DA34" s="8">
        <v>0</v>
      </c>
      <c r="DB34" s="8">
        <f t="shared" si="121"/>
        <v>-1119760</v>
      </c>
      <c r="DC34" s="8">
        <f t="shared" si="122"/>
        <v>-1109728</v>
      </c>
    </row>
    <row r="35" spans="3:107" s="10" customFormat="1">
      <c r="C35" s="11"/>
      <c r="D35" s="18" t="s">
        <v>180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2"/>
      <c r="Q35" s="13"/>
      <c r="R35" s="13"/>
      <c r="S35" s="14"/>
      <c r="T35" s="14"/>
      <c r="U35" s="14"/>
      <c r="V35" s="17"/>
      <c r="W35" s="14"/>
      <c r="X35" s="14"/>
      <c r="Y35" s="14"/>
      <c r="Z35" s="14"/>
      <c r="AA35" s="14"/>
      <c r="AB35" s="14"/>
      <c r="AC35" s="17"/>
      <c r="AD35" s="14"/>
      <c r="AE35" s="14"/>
      <c r="AF35" s="14"/>
      <c r="AG35" s="14"/>
      <c r="AH35" s="14"/>
      <c r="AI35" s="14"/>
      <c r="AJ35" s="17"/>
      <c r="AK35" s="14"/>
      <c r="AL35" s="14"/>
      <c r="AM35" s="14"/>
      <c r="AN35" s="14"/>
      <c r="AO35" s="14"/>
      <c r="AP35" s="14"/>
      <c r="AQ35" s="17"/>
      <c r="AR35" s="14"/>
      <c r="AS35" s="14"/>
      <c r="AT35" s="14"/>
      <c r="AU35" s="14"/>
      <c r="AV35" s="14"/>
      <c r="AW35" s="14"/>
      <c r="AX35" s="17"/>
      <c r="AY35" s="14"/>
      <c r="AZ35" s="14"/>
      <c r="BA35" s="14"/>
      <c r="BB35" s="14"/>
      <c r="BC35" s="14"/>
      <c r="BD35" s="14"/>
      <c r="BE35" s="17"/>
      <c r="BF35" s="14"/>
      <c r="BG35" s="14"/>
      <c r="BH35" s="14"/>
      <c r="BI35" s="14"/>
      <c r="BJ35" s="14"/>
      <c r="BK35" s="14"/>
      <c r="BL35" s="17"/>
      <c r="BM35" s="14"/>
      <c r="BN35" s="14"/>
      <c r="BO35" s="14"/>
      <c r="BP35" s="14">
        <v>100</v>
      </c>
      <c r="BQ35" s="17">
        <v>100</v>
      </c>
      <c r="BR35" s="14"/>
      <c r="BS35" s="14"/>
      <c r="BT35" s="14"/>
      <c r="BU35" s="14">
        <v>96</v>
      </c>
      <c r="BV35" s="17">
        <v>93.8</v>
      </c>
      <c r="BW35" s="14"/>
      <c r="BX35" s="14"/>
      <c r="BY35" s="14"/>
      <c r="BZ35" s="14">
        <v>96</v>
      </c>
      <c r="CA35" s="17">
        <v>93.8</v>
      </c>
      <c r="CB35" s="14"/>
      <c r="CC35" s="14"/>
      <c r="CD35" s="14"/>
      <c r="CE35" s="14">
        <v>96</v>
      </c>
      <c r="CF35" s="17">
        <v>93.8</v>
      </c>
      <c r="CG35" s="14"/>
      <c r="CH35" s="14"/>
      <c r="CI35" s="14"/>
      <c r="CJ35" s="14">
        <v>96</v>
      </c>
      <c r="CK35" s="17">
        <v>93.8</v>
      </c>
      <c r="CL35" s="14"/>
      <c r="CM35" s="14"/>
      <c r="CN35" s="14"/>
      <c r="CO35" s="14"/>
      <c r="CP35" s="15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7"/>
    </row>
    <row r="36" spans="3:107" s="4" customFormat="1">
      <c r="C36" s="5"/>
      <c r="D36" s="18" t="s">
        <v>181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7"/>
      <c r="R36" s="7"/>
      <c r="S36" s="8"/>
      <c r="T36" s="8"/>
      <c r="U36" s="8"/>
      <c r="V36" s="16"/>
      <c r="W36" s="8"/>
      <c r="X36" s="8"/>
      <c r="Y36" s="8"/>
      <c r="Z36" s="8"/>
      <c r="AA36" s="8"/>
      <c r="AB36" s="8"/>
      <c r="AC36" s="16"/>
      <c r="AD36" s="8"/>
      <c r="AE36" s="8"/>
      <c r="AF36" s="8"/>
      <c r="AG36" s="8"/>
      <c r="AH36" s="8"/>
      <c r="AI36" s="8"/>
      <c r="AJ36" s="16"/>
      <c r="AK36" s="8"/>
      <c r="AL36" s="8"/>
      <c r="AM36" s="8"/>
      <c r="AN36" s="8"/>
      <c r="AO36" s="8"/>
      <c r="AP36" s="8"/>
      <c r="AQ36" s="16"/>
      <c r="AR36" s="8"/>
      <c r="AS36" s="8"/>
      <c r="AT36" s="8"/>
      <c r="AU36" s="8"/>
      <c r="AV36" s="8"/>
      <c r="AW36" s="8"/>
      <c r="AX36" s="16"/>
      <c r="AY36" s="8"/>
      <c r="AZ36" s="8"/>
      <c r="BA36" s="8"/>
      <c r="BB36" s="8"/>
      <c r="BC36" s="8"/>
      <c r="BD36" s="8"/>
      <c r="BE36" s="16"/>
      <c r="BF36" s="8"/>
      <c r="BG36" s="8"/>
      <c r="BH36" s="8"/>
      <c r="BI36" s="8"/>
      <c r="BJ36" s="8"/>
      <c r="BK36" s="8"/>
      <c r="BL36" s="16"/>
      <c r="BM36" s="8"/>
      <c r="BN36" s="8"/>
      <c r="BO36" s="8"/>
      <c r="BP36" s="8">
        <v>100</v>
      </c>
      <c r="BQ36" s="16">
        <v>100</v>
      </c>
      <c r="BR36" s="8"/>
      <c r="BS36" s="8"/>
      <c r="BT36" s="8"/>
      <c r="BU36" s="8">
        <v>100</v>
      </c>
      <c r="BV36" s="16">
        <v>100</v>
      </c>
      <c r="BW36" s="8"/>
      <c r="BX36" s="8"/>
      <c r="BY36" s="8"/>
      <c r="BZ36" s="8">
        <v>100</v>
      </c>
      <c r="CA36" s="16">
        <v>100</v>
      </c>
      <c r="CB36" s="8"/>
      <c r="CC36" s="8"/>
      <c r="CD36" s="8"/>
      <c r="CE36" s="8">
        <v>100</v>
      </c>
      <c r="CF36" s="16">
        <v>100</v>
      </c>
      <c r="CG36" s="8"/>
      <c r="CH36" s="8"/>
      <c r="CI36" s="8"/>
      <c r="CJ36" s="8">
        <v>100</v>
      </c>
      <c r="CK36" s="16">
        <v>100</v>
      </c>
      <c r="CL36" s="8"/>
      <c r="CM36" s="8"/>
      <c r="CN36" s="8"/>
      <c r="CO36" s="8"/>
      <c r="CP36" s="9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16"/>
    </row>
    <row r="37" spans="3:107" s="10" customFormat="1">
      <c r="C37" s="11"/>
      <c r="D37" s="11" t="s">
        <v>182</v>
      </c>
      <c r="E37" s="11"/>
      <c r="F37" s="11"/>
      <c r="G37" s="11" t="s">
        <v>183</v>
      </c>
      <c r="H37" s="11"/>
      <c r="I37" s="11"/>
      <c r="J37" s="11"/>
      <c r="K37" s="11"/>
      <c r="L37" s="11"/>
      <c r="M37" s="11"/>
      <c r="N37" s="11"/>
      <c r="O37" s="12"/>
      <c r="P37" s="12"/>
      <c r="Q37" s="13"/>
      <c r="R37" s="13"/>
      <c r="S37" s="14"/>
      <c r="T37" s="14"/>
      <c r="U37" s="14"/>
      <c r="V37" s="17"/>
      <c r="W37" s="14"/>
      <c r="X37" s="14"/>
      <c r="Y37" s="14"/>
      <c r="Z37" s="14"/>
      <c r="AA37" s="14"/>
      <c r="AB37" s="14"/>
      <c r="AC37" s="17"/>
      <c r="AD37" s="14"/>
      <c r="AE37" s="14"/>
      <c r="AF37" s="14"/>
      <c r="AG37" s="14"/>
      <c r="AH37" s="14"/>
      <c r="AI37" s="14"/>
      <c r="AJ37" s="17"/>
      <c r="AK37" s="14"/>
      <c r="AL37" s="14"/>
      <c r="AM37" s="14"/>
      <c r="AN37" s="14"/>
      <c r="AO37" s="14"/>
      <c r="AP37" s="14"/>
      <c r="AQ37" s="17"/>
      <c r="AR37" s="14"/>
      <c r="AS37" s="14"/>
      <c r="AT37" s="14"/>
      <c r="AU37" s="14"/>
      <c r="AV37" s="14"/>
      <c r="AW37" s="14"/>
      <c r="AX37" s="17"/>
      <c r="AY37" s="14"/>
      <c r="AZ37" s="14"/>
      <c r="BA37" s="14"/>
      <c r="BB37" s="14"/>
      <c r="BC37" s="14"/>
      <c r="BD37" s="14"/>
      <c r="BE37" s="17"/>
      <c r="BF37" s="14"/>
      <c r="BG37" s="14"/>
      <c r="BH37" s="14"/>
      <c r="BI37" s="14"/>
      <c r="BJ37" s="14"/>
      <c r="BK37" s="14"/>
      <c r="BL37" s="17"/>
      <c r="BM37" s="14"/>
      <c r="BN37" s="14"/>
      <c r="BO37" s="14"/>
      <c r="BP37" s="14"/>
      <c r="BQ37" s="17"/>
      <c r="BR37" s="14"/>
      <c r="BS37" s="14"/>
      <c r="BT37" s="14"/>
      <c r="BU37" s="14"/>
      <c r="BV37" s="17"/>
      <c r="BW37" s="14"/>
      <c r="BX37" s="14"/>
      <c r="BY37" s="14"/>
      <c r="BZ37" s="14"/>
      <c r="CA37" s="17"/>
      <c r="CB37" s="14"/>
      <c r="CC37" s="14"/>
      <c r="CD37" s="14"/>
      <c r="CE37" s="14"/>
      <c r="CF37" s="17"/>
      <c r="CG37" s="14"/>
      <c r="CH37" s="14"/>
      <c r="CI37" s="14"/>
      <c r="CJ37" s="14"/>
      <c r="CK37" s="17"/>
      <c r="CL37" s="14"/>
      <c r="CM37" s="14"/>
      <c r="CN37" s="14"/>
      <c r="CO37" s="14"/>
      <c r="CP37" s="15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7"/>
    </row>
    <row r="38" spans="3:107" s="4" customFormat="1">
      <c r="C38" s="5"/>
      <c r="D38" s="5" t="s">
        <v>184</v>
      </c>
      <c r="E38" s="5"/>
      <c r="F38" s="5"/>
      <c r="G38" s="5" t="s">
        <v>185</v>
      </c>
      <c r="H38" s="5"/>
      <c r="I38" s="5"/>
      <c r="J38" s="5"/>
      <c r="K38" s="5"/>
      <c r="L38" s="5"/>
      <c r="M38" s="5"/>
      <c r="N38" s="5"/>
      <c r="O38" s="6"/>
      <c r="P38" s="6"/>
      <c r="Q38" s="7"/>
      <c r="R38" s="7"/>
      <c r="S38" s="8"/>
      <c r="T38" s="8"/>
      <c r="U38" s="8"/>
      <c r="V38" s="16"/>
      <c r="W38" s="8"/>
      <c r="X38" s="8"/>
      <c r="Y38" s="8"/>
      <c r="Z38" s="8"/>
      <c r="AA38" s="8"/>
      <c r="AB38" s="8"/>
      <c r="AC38" s="16"/>
      <c r="AD38" s="8"/>
      <c r="AE38" s="8"/>
      <c r="AF38" s="8"/>
      <c r="AG38" s="8"/>
      <c r="AH38" s="8"/>
      <c r="AI38" s="8"/>
      <c r="AJ38" s="16"/>
      <c r="AK38" s="8"/>
      <c r="AL38" s="8"/>
      <c r="AM38" s="8"/>
      <c r="AN38" s="8"/>
      <c r="AO38" s="8"/>
      <c r="AP38" s="8"/>
      <c r="AQ38" s="16"/>
      <c r="AR38" s="8"/>
      <c r="AS38" s="8"/>
      <c r="AT38" s="8"/>
      <c r="AU38" s="8"/>
      <c r="AV38" s="8"/>
      <c r="AW38" s="8"/>
      <c r="AX38" s="16"/>
      <c r="AY38" s="8"/>
      <c r="AZ38" s="8"/>
      <c r="BA38" s="8"/>
      <c r="BB38" s="8"/>
      <c r="BC38" s="8"/>
      <c r="BD38" s="8"/>
      <c r="BE38" s="16"/>
      <c r="BF38" s="8"/>
      <c r="BG38" s="8"/>
      <c r="BH38" s="8"/>
      <c r="BI38" s="8"/>
      <c r="BJ38" s="8"/>
      <c r="BK38" s="8"/>
      <c r="BL38" s="16"/>
      <c r="BM38" s="8"/>
      <c r="BN38" s="8"/>
      <c r="BO38" s="8"/>
      <c r="BP38" s="8"/>
      <c r="BQ38" s="16"/>
      <c r="BR38" s="8"/>
      <c r="BS38" s="8"/>
      <c r="BT38" s="8"/>
      <c r="BU38" s="8"/>
      <c r="BV38" s="16"/>
      <c r="BW38" s="8"/>
      <c r="BX38" s="8"/>
      <c r="BY38" s="8"/>
      <c r="BZ38" s="8"/>
      <c r="CA38" s="16"/>
      <c r="CB38" s="8"/>
      <c r="CC38" s="8"/>
      <c r="CD38" s="8"/>
      <c r="CE38" s="8"/>
      <c r="CF38" s="16"/>
      <c r="CG38" s="8"/>
      <c r="CH38" s="8"/>
      <c r="CI38" s="8"/>
      <c r="CJ38" s="8"/>
      <c r="CK38" s="16"/>
      <c r="CL38" s="8"/>
      <c r="CM38" s="8"/>
      <c r="CN38" s="8"/>
      <c r="CO38" s="8"/>
      <c r="CP38" s="9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16"/>
    </row>
    <row r="39" spans="3:107" s="10" customFormat="1">
      <c r="C39" s="11"/>
      <c r="D39" s="11" t="s">
        <v>186</v>
      </c>
      <c r="E39" s="11"/>
      <c r="F39" s="11"/>
      <c r="G39" s="11" t="s">
        <v>187</v>
      </c>
      <c r="H39" s="11"/>
      <c r="I39" s="11"/>
      <c r="J39" s="11"/>
      <c r="K39" s="11"/>
      <c r="L39" s="11"/>
      <c r="M39" s="11"/>
      <c r="N39" s="11"/>
      <c r="O39" s="12"/>
      <c r="P39" s="12"/>
      <c r="Q39" s="13"/>
      <c r="R39" s="13"/>
      <c r="S39" s="14"/>
      <c r="T39" s="14"/>
      <c r="U39" s="14"/>
      <c r="V39" s="17"/>
      <c r="W39" s="14"/>
      <c r="X39" s="14"/>
      <c r="Y39" s="14"/>
      <c r="Z39" s="14"/>
      <c r="AA39" s="14"/>
      <c r="AB39" s="14"/>
      <c r="AC39" s="17"/>
      <c r="AD39" s="14"/>
      <c r="AE39" s="14"/>
      <c r="AF39" s="14"/>
      <c r="AG39" s="14"/>
      <c r="AH39" s="14"/>
      <c r="AI39" s="14"/>
      <c r="AJ39" s="17"/>
      <c r="AK39" s="14"/>
      <c r="AL39" s="14"/>
      <c r="AM39" s="14"/>
      <c r="AN39" s="14"/>
      <c r="AO39" s="14"/>
      <c r="AP39" s="14"/>
      <c r="AQ39" s="17"/>
      <c r="AR39" s="14"/>
      <c r="AS39" s="14"/>
      <c r="AT39" s="14"/>
      <c r="AU39" s="14"/>
      <c r="AV39" s="14"/>
      <c r="AW39" s="14"/>
      <c r="AX39" s="17"/>
      <c r="AY39" s="14"/>
      <c r="AZ39" s="14"/>
      <c r="BA39" s="14"/>
      <c r="BB39" s="14"/>
      <c r="BC39" s="14"/>
      <c r="BD39" s="14"/>
      <c r="BE39" s="17"/>
      <c r="BF39" s="14"/>
      <c r="BG39" s="14"/>
      <c r="BH39" s="14"/>
      <c r="BI39" s="14"/>
      <c r="BJ39" s="14"/>
      <c r="BK39" s="14"/>
      <c r="BL39" s="17"/>
      <c r="BM39" s="14"/>
      <c r="BN39" s="14"/>
      <c r="BO39" s="14"/>
      <c r="BP39" s="14"/>
      <c r="BQ39" s="17"/>
      <c r="BR39" s="14"/>
      <c r="BS39" s="14"/>
      <c r="BT39" s="14"/>
      <c r="BU39" s="14"/>
      <c r="BV39" s="17"/>
      <c r="BW39" s="14"/>
      <c r="BX39" s="14"/>
      <c r="BY39" s="14"/>
      <c r="BZ39" s="14"/>
      <c r="CA39" s="17"/>
      <c r="CB39" s="14"/>
      <c r="CC39" s="14"/>
      <c r="CD39" s="14"/>
      <c r="CE39" s="14"/>
      <c r="CF39" s="17"/>
      <c r="CG39" s="14"/>
      <c r="CH39" s="14"/>
      <c r="CI39" s="14"/>
      <c r="CJ39" s="14"/>
      <c r="CK39" s="17"/>
      <c r="CL39" s="14"/>
      <c r="CM39" s="14"/>
      <c r="CN39" s="14"/>
      <c r="CO39" s="14"/>
      <c r="CP39" s="15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7"/>
    </row>
    <row r="40" spans="3:107" s="4" customFormat="1">
      <c r="C40" s="5"/>
      <c r="D40" s="5" t="s">
        <v>188</v>
      </c>
      <c r="E40" s="5"/>
      <c r="F40" s="5"/>
      <c r="G40" s="5" t="s">
        <v>185</v>
      </c>
      <c r="H40" s="5"/>
      <c r="I40" s="5"/>
      <c r="J40" s="5"/>
      <c r="K40" s="5"/>
      <c r="L40" s="5"/>
      <c r="M40" s="5"/>
      <c r="N40" s="5"/>
      <c r="O40" s="6"/>
      <c r="P40" s="6"/>
      <c r="Q40" s="7"/>
      <c r="R40" s="7"/>
      <c r="S40" s="8"/>
      <c r="T40" s="8"/>
      <c r="U40" s="8"/>
      <c r="V40" s="16"/>
      <c r="W40" s="8"/>
      <c r="X40" s="8"/>
      <c r="Y40" s="8"/>
      <c r="Z40" s="8"/>
      <c r="AA40" s="8"/>
      <c r="AB40" s="8"/>
      <c r="AC40" s="16"/>
      <c r="AD40" s="8"/>
      <c r="AE40" s="8"/>
      <c r="AF40" s="8"/>
      <c r="AG40" s="8"/>
      <c r="AH40" s="8"/>
      <c r="AI40" s="8"/>
      <c r="AJ40" s="16"/>
      <c r="AK40" s="8"/>
      <c r="AL40" s="8"/>
      <c r="AM40" s="8"/>
      <c r="AN40" s="8"/>
      <c r="AO40" s="8"/>
      <c r="AP40" s="8"/>
      <c r="AQ40" s="16"/>
      <c r="AR40" s="8"/>
      <c r="AS40" s="8"/>
      <c r="AT40" s="8"/>
      <c r="AU40" s="8"/>
      <c r="AV40" s="8"/>
      <c r="AW40" s="8"/>
      <c r="AX40" s="16"/>
      <c r="AY40" s="8"/>
      <c r="AZ40" s="8"/>
      <c r="BA40" s="8"/>
      <c r="BB40" s="8"/>
      <c r="BC40" s="8"/>
      <c r="BD40" s="8"/>
      <c r="BE40" s="16"/>
      <c r="BF40" s="8"/>
      <c r="BG40" s="8"/>
      <c r="BH40" s="8"/>
      <c r="BI40" s="8"/>
      <c r="BJ40" s="8"/>
      <c r="BK40" s="8"/>
      <c r="BL40" s="16"/>
      <c r="BM40" s="8"/>
      <c r="BN40" s="8"/>
      <c r="BO40" s="8"/>
      <c r="BP40" s="8"/>
      <c r="BQ40" s="16"/>
      <c r="BR40" s="8"/>
      <c r="BS40" s="8"/>
      <c r="BT40" s="8"/>
      <c r="BU40" s="8"/>
      <c r="BV40" s="16"/>
      <c r="BW40" s="8"/>
      <c r="BX40" s="8"/>
      <c r="BY40" s="8"/>
      <c r="BZ40" s="8"/>
      <c r="CA40" s="16"/>
      <c r="CB40" s="8"/>
      <c r="CC40" s="8"/>
      <c r="CD40" s="8"/>
      <c r="CE40" s="8"/>
      <c r="CF40" s="16"/>
      <c r="CG40" s="8"/>
      <c r="CH40" s="8"/>
      <c r="CI40" s="8"/>
      <c r="CJ40" s="8"/>
      <c r="CK40" s="16"/>
      <c r="CL40" s="8"/>
      <c r="CM40" s="8"/>
      <c r="CN40" s="8"/>
      <c r="CO40" s="8"/>
      <c r="CP40" s="9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16"/>
    </row>
    <row r="41" spans="3:107" s="10" customFormat="1">
      <c r="C41" s="11"/>
      <c r="D41" s="11" t="s">
        <v>189</v>
      </c>
      <c r="E41" s="11"/>
      <c r="F41" s="11"/>
      <c r="G41" s="11" t="s">
        <v>190</v>
      </c>
      <c r="H41" s="11"/>
      <c r="I41" s="11"/>
      <c r="J41" s="11"/>
      <c r="K41" s="11"/>
      <c r="L41" s="11"/>
      <c r="M41" s="11"/>
      <c r="N41" s="11"/>
      <c r="O41" s="12"/>
      <c r="P41" s="12"/>
      <c r="Q41" s="13"/>
      <c r="R41" s="13"/>
      <c r="S41" s="14"/>
      <c r="T41" s="14"/>
      <c r="U41" s="14"/>
      <c r="V41" s="17"/>
      <c r="W41" s="14"/>
      <c r="X41" s="14"/>
      <c r="Y41" s="14"/>
      <c r="Z41" s="14"/>
      <c r="AA41" s="14"/>
      <c r="AB41" s="14"/>
      <c r="AC41" s="17"/>
      <c r="AD41" s="14"/>
      <c r="AE41" s="14"/>
      <c r="AF41" s="14"/>
      <c r="AG41" s="14"/>
      <c r="AH41" s="14"/>
      <c r="AI41" s="14"/>
      <c r="AJ41" s="17"/>
      <c r="AK41" s="14"/>
      <c r="AL41" s="14"/>
      <c r="AM41" s="14"/>
      <c r="AN41" s="14"/>
      <c r="AO41" s="14"/>
      <c r="AP41" s="14"/>
      <c r="AQ41" s="17"/>
      <c r="AR41" s="14"/>
      <c r="AS41" s="14"/>
      <c r="AT41" s="14"/>
      <c r="AU41" s="14"/>
      <c r="AV41" s="14"/>
      <c r="AW41" s="14"/>
      <c r="AX41" s="17"/>
      <c r="AY41" s="14"/>
      <c r="AZ41" s="14"/>
      <c r="BA41" s="14"/>
      <c r="BB41" s="14"/>
      <c r="BC41" s="14"/>
      <c r="BD41" s="14"/>
      <c r="BE41" s="17"/>
      <c r="BF41" s="14"/>
      <c r="BG41" s="14"/>
      <c r="BH41" s="14"/>
      <c r="BI41" s="14"/>
      <c r="BJ41" s="14"/>
      <c r="BK41" s="14"/>
      <c r="BL41" s="17"/>
      <c r="BM41" s="14"/>
      <c r="BN41" s="14"/>
      <c r="BO41" s="14"/>
      <c r="BP41" s="14"/>
      <c r="BQ41" s="17"/>
      <c r="BR41" s="14"/>
      <c r="BS41" s="14"/>
      <c r="BT41" s="14"/>
      <c r="BU41" s="14"/>
      <c r="BV41" s="17"/>
      <c r="BW41" s="14"/>
      <c r="BX41" s="14"/>
      <c r="BY41" s="14"/>
      <c r="BZ41" s="14"/>
      <c r="CA41" s="17"/>
      <c r="CB41" s="14"/>
      <c r="CC41" s="14"/>
      <c r="CD41" s="14"/>
      <c r="CE41" s="14"/>
      <c r="CF41" s="17"/>
      <c r="CG41" s="14"/>
      <c r="CH41" s="14"/>
      <c r="CI41" s="14"/>
      <c r="CJ41" s="14"/>
      <c r="CK41" s="17"/>
      <c r="CL41" s="14"/>
      <c r="CM41" s="14"/>
      <c r="CN41" s="14"/>
      <c r="CO41" s="14"/>
      <c r="CP41" s="15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7"/>
    </row>
    <row r="42" spans="3:107" s="4" customFormat="1">
      <c r="C42" s="5"/>
      <c r="D42" s="5" t="s">
        <v>191</v>
      </c>
      <c r="E42" s="5"/>
      <c r="F42" s="5"/>
      <c r="G42" s="5" t="s">
        <v>193</v>
      </c>
      <c r="H42" s="5" t="s">
        <v>194</v>
      </c>
      <c r="I42" s="5"/>
      <c r="J42" s="5"/>
      <c r="K42" s="5"/>
      <c r="L42" s="5"/>
      <c r="M42" s="5"/>
      <c r="N42" s="5"/>
      <c r="O42" s="6"/>
      <c r="P42" s="6"/>
      <c r="Q42" s="7"/>
      <c r="R42" s="7"/>
      <c r="S42" s="8"/>
      <c r="T42" s="8"/>
      <c r="U42" s="8"/>
      <c r="V42" s="16"/>
      <c r="W42" s="8"/>
      <c r="X42" s="8"/>
      <c r="Y42" s="8"/>
      <c r="Z42" s="8"/>
      <c r="AA42" s="8"/>
      <c r="AB42" s="8"/>
      <c r="AC42" s="16"/>
      <c r="AD42" s="8"/>
      <c r="AE42" s="8"/>
      <c r="AF42" s="8"/>
      <c r="AG42" s="8"/>
      <c r="AH42" s="8"/>
      <c r="AI42" s="8"/>
      <c r="AJ42" s="16"/>
      <c r="AK42" s="8"/>
      <c r="AL42" s="8"/>
      <c r="AM42" s="8"/>
      <c r="AN42" s="8"/>
      <c r="AO42" s="8"/>
      <c r="AP42" s="8"/>
      <c r="AQ42" s="16"/>
      <c r="AR42" s="8"/>
      <c r="AS42" s="8"/>
      <c r="AT42" s="8"/>
      <c r="AU42" s="8"/>
      <c r="AV42" s="8"/>
      <c r="AW42" s="8"/>
      <c r="AX42" s="16"/>
      <c r="AY42" s="8"/>
      <c r="AZ42" s="8"/>
      <c r="BA42" s="8"/>
      <c r="BB42" s="8"/>
      <c r="BC42" s="8"/>
      <c r="BD42" s="8"/>
      <c r="BE42" s="16"/>
      <c r="BF42" s="8"/>
      <c r="BG42" s="8"/>
      <c r="BH42" s="8"/>
      <c r="BI42" s="8"/>
      <c r="BJ42" s="8"/>
      <c r="BK42" s="8"/>
      <c r="BL42" s="16"/>
      <c r="BM42" s="8"/>
      <c r="BN42" s="8"/>
      <c r="BO42" s="8"/>
      <c r="BP42" s="8"/>
      <c r="BQ42" s="16"/>
      <c r="BR42" s="8"/>
      <c r="BS42" s="8"/>
      <c r="BT42" s="8"/>
      <c r="BU42" s="8"/>
      <c r="BV42" s="16"/>
      <c r="BW42" s="8"/>
      <c r="BX42" s="8"/>
      <c r="BY42" s="8"/>
      <c r="BZ42" s="8"/>
      <c r="CA42" s="16"/>
      <c r="CB42" s="8"/>
      <c r="CC42" s="8"/>
      <c r="CD42" s="8"/>
      <c r="CE42" s="8"/>
      <c r="CF42" s="16"/>
      <c r="CG42" s="8"/>
      <c r="CH42" s="8"/>
      <c r="CI42" s="8"/>
      <c r="CJ42" s="8"/>
      <c r="CK42" s="16"/>
      <c r="CL42" s="8"/>
      <c r="CM42" s="8"/>
      <c r="CN42" s="8"/>
      <c r="CO42" s="8"/>
      <c r="CP42" s="9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16"/>
    </row>
    <row r="43" spans="3:107" s="10" customFormat="1">
      <c r="C43" s="11"/>
      <c r="D43" s="11"/>
      <c r="E43" s="11"/>
      <c r="F43" s="11"/>
      <c r="G43" s="11" t="s">
        <v>196</v>
      </c>
      <c r="H43" s="11" t="s">
        <v>195</v>
      </c>
      <c r="I43" s="11"/>
      <c r="J43" s="11"/>
      <c r="K43" s="11"/>
      <c r="L43" s="11"/>
      <c r="M43" s="11"/>
      <c r="N43" s="11"/>
      <c r="O43" s="12"/>
      <c r="P43" s="12"/>
      <c r="Q43" s="13"/>
      <c r="R43" s="13"/>
      <c r="S43" s="14"/>
      <c r="T43" s="14"/>
      <c r="U43" s="14"/>
      <c r="V43" s="17"/>
      <c r="W43" s="14"/>
      <c r="X43" s="14"/>
      <c r="Y43" s="14"/>
      <c r="Z43" s="14"/>
      <c r="AA43" s="14"/>
      <c r="AB43" s="14"/>
      <c r="AC43" s="17"/>
      <c r="AD43" s="14"/>
      <c r="AE43" s="14"/>
      <c r="AF43" s="14"/>
      <c r="AG43" s="14"/>
      <c r="AH43" s="14"/>
      <c r="AI43" s="14"/>
      <c r="AJ43" s="17"/>
      <c r="AK43" s="14"/>
      <c r="AL43" s="14"/>
      <c r="AM43" s="14"/>
      <c r="AN43" s="14"/>
      <c r="AO43" s="14"/>
      <c r="AP43" s="14"/>
      <c r="AQ43" s="17"/>
      <c r="AR43" s="14"/>
      <c r="AS43" s="14"/>
      <c r="AT43" s="14"/>
      <c r="AU43" s="14"/>
      <c r="AV43" s="14"/>
      <c r="AW43" s="14"/>
      <c r="AX43" s="17"/>
      <c r="AY43" s="14"/>
      <c r="AZ43" s="14"/>
      <c r="BA43" s="14"/>
      <c r="BB43" s="14"/>
      <c r="BC43" s="14"/>
      <c r="BD43" s="14"/>
      <c r="BE43" s="17"/>
      <c r="BF43" s="14"/>
      <c r="BG43" s="14"/>
      <c r="BH43" s="14"/>
      <c r="BI43" s="14"/>
      <c r="BJ43" s="14"/>
      <c r="BK43" s="14"/>
      <c r="BL43" s="17"/>
      <c r="BM43" s="14"/>
      <c r="BN43" s="14"/>
      <c r="BO43" s="14"/>
      <c r="BP43" s="14"/>
      <c r="BQ43" s="17"/>
      <c r="BR43" s="14"/>
      <c r="BS43" s="14"/>
      <c r="BT43" s="14"/>
      <c r="BU43" s="14"/>
      <c r="BV43" s="17"/>
      <c r="BW43" s="14"/>
      <c r="BX43" s="14"/>
      <c r="BY43" s="14"/>
      <c r="BZ43" s="14"/>
      <c r="CA43" s="17"/>
      <c r="CB43" s="14"/>
      <c r="CC43" s="14"/>
      <c r="CD43" s="14"/>
      <c r="CE43" s="14"/>
      <c r="CF43" s="17"/>
      <c r="CG43" s="14"/>
      <c r="CH43" s="14"/>
      <c r="CI43" s="14"/>
      <c r="CJ43" s="14"/>
      <c r="CK43" s="17"/>
      <c r="CL43" s="14"/>
      <c r="CM43" s="14"/>
      <c r="CN43" s="14"/>
      <c r="CO43" s="14"/>
      <c r="CP43" s="15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7"/>
    </row>
  </sheetData>
  <mergeCells count="1">
    <mergeCell ref="A1:B1"/>
  </mergeCells>
  <phoneticPr fontId="2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stcentersplit_Click">
                <anchor moveWithCells="1" sizeWithCells="1">
                  <from>
                    <xdr:col>0</xdr:col>
                    <xdr:colOff>127000</xdr:colOff>
                    <xdr:row>0</xdr:row>
                    <xdr:rowOff>63500</xdr:rowOff>
                  </from>
                  <to>
                    <xdr:col>1</xdr:col>
                    <xdr:colOff>514350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tabSelected="1" zoomScale="110" zoomScaleNormal="110" workbookViewId="0">
      <pane xSplit="5" ySplit="2" topLeftCell="I3" activePane="bottomRight" state="frozen"/>
      <selection pane="topRight" activeCell="E1" sqref="E1"/>
      <selection pane="bottomLeft" activeCell="A3" sqref="A3"/>
      <selection pane="bottomRight" activeCell="E13" sqref="E13"/>
    </sheetView>
  </sheetViews>
  <sheetFormatPr defaultColWidth="8.83203125" defaultRowHeight="14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>
      <c r="A4" s="24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>
      <c r="B23" s="11" t="s">
        <v>201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>
      <c r="B24" s="5" t="s">
        <v>192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</row>
    <row r="30" spans="2:106" s="4" customFormat="1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</row>
    <row r="33" spans="72:88">
      <c r="BT33" s="20"/>
      <c r="BU33" s="21"/>
      <c r="BY33" s="20"/>
      <c r="BZ33" s="21"/>
      <c r="CD33" s="20"/>
      <c r="CE33" s="21"/>
      <c r="CI33" s="20"/>
      <c r="CJ33" s="21"/>
    </row>
  </sheetData>
  <phoneticPr fontId="2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LE（系统导出）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2026-04-20T16:31:50Z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
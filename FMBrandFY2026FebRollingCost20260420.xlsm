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C97C92D7-87A3-4215-9F30-4AAFC30FBE56}" xr6:coauthVersionLast="47" xr6:coauthVersionMax="47" xr10:uidLastSave="{00000000-0000-0000-0000-000000000000}"/>
  <bookViews>
    <workbookView xWindow="-110" yWindow="-110" windowWidth="25820" windowHeight="15620" xr2:uid="{D525BBAD-DFFD-43A3-BB40-A07C19856506}"/>
  </bookViews>
  <sheets>
    <sheet name="LE（系统导出）" sheetId="1" r:id="rId1"/>
    <sheet name="CostCenterGroupBySumResult" sheetId="14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32" i="14" l="1"/>
  <c r="DB32" i="14"/>
  <c r="DA32" i="14"/>
  <c r="CZ32" i="14"/>
  <c r="CY32" i="14"/>
  <c r="CX32" i="14"/>
  <c r="CW32" i="14"/>
  <c r="CV32" i="14"/>
  <c r="CU32" i="14"/>
  <c r="CT32" i="14"/>
  <c r="CS32" i="14"/>
  <c r="CR32" i="14"/>
  <c r="CQ32" i="14"/>
  <c r="CP32" i="14"/>
  <c r="CO32" i="14"/>
  <c r="CN32" i="14"/>
  <c r="CM32" i="14"/>
  <c r="CL32" i="14"/>
  <c r="CK32" i="14"/>
  <c r="CJ32" i="14"/>
  <c r="CI32" i="14"/>
  <c r="CH32" i="14"/>
  <c r="CG32" i="14"/>
  <c r="CF32" i="14"/>
  <c r="CE32" i="14"/>
  <c r="CD32" i="14"/>
  <c r="CC32" i="14"/>
  <c r="CB32" i="14"/>
  <c r="CA32" i="14"/>
  <c r="BZ32" i="14"/>
  <c r="BY32" i="14"/>
  <c r="BX32" i="14"/>
  <c r="BW32" i="14"/>
  <c r="BV32" i="14"/>
  <c r="BU32" i="14"/>
  <c r="BT32" i="14"/>
  <c r="BS32" i="14"/>
  <c r="BR32" i="14"/>
  <c r="BQ32" i="14"/>
  <c r="BP32" i="14"/>
  <c r="BO32" i="14"/>
  <c r="BN32" i="14"/>
  <c r="BM32" i="14"/>
  <c r="BL32" i="14"/>
  <c r="BK32" i="14"/>
  <c r="BJ32" i="14"/>
  <c r="BI32" i="14"/>
  <c r="BH32" i="14"/>
  <c r="BG32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AM32" i="14"/>
  <c r="AL32" i="14"/>
  <c r="AK32" i="14"/>
  <c r="AJ32" i="14"/>
  <c r="AI32" i="14"/>
  <c r="AH32" i="14"/>
  <c r="AG32" i="14"/>
  <c r="AF32" i="14"/>
  <c r="AE32" i="14"/>
  <c r="AD32" i="14"/>
  <c r="AC32" i="14"/>
  <c r="AB32" i="14"/>
  <c r="AA32" i="14"/>
  <c r="Z32" i="14"/>
  <c r="Y32" i="14"/>
  <c r="X32" i="14"/>
  <c r="W32" i="14"/>
  <c r="V32" i="14"/>
  <c r="U32" i="14"/>
  <c r="T32" i="14"/>
  <c r="S32" i="14"/>
  <c r="DC27" i="14"/>
  <c r="DB27" i="14"/>
  <c r="DA27" i="14"/>
  <c r="CZ27" i="14"/>
  <c r="CY27" i="14"/>
  <c r="CX27" i="14"/>
  <c r="CW27" i="14"/>
  <c r="CV27" i="14"/>
  <c r="CU27" i="14"/>
  <c r="CT27" i="14"/>
  <c r="CS27" i="14"/>
  <c r="CR27" i="14"/>
  <c r="CQ27" i="14"/>
  <c r="CP27" i="14"/>
  <c r="CO27" i="14"/>
  <c r="CN27" i="14"/>
  <c r="CM27" i="14"/>
  <c r="CL27" i="14"/>
  <c r="CK27" i="14"/>
  <c r="CJ27" i="14"/>
  <c r="CI27" i="14"/>
  <c r="CH27" i="14"/>
  <c r="CG27" i="14"/>
  <c r="CF27" i="14"/>
  <c r="CE27" i="14"/>
  <c r="CD27" i="14"/>
  <c r="CC27" i="14"/>
  <c r="CB27" i="14"/>
  <c r="CA27" i="14"/>
  <c r="BZ27" i="14"/>
  <c r="BY27" i="14"/>
  <c r="BX27" i="14"/>
  <c r="BW27" i="14"/>
  <c r="BV27" i="14"/>
  <c r="BU27" i="14"/>
  <c r="BT27" i="14"/>
  <c r="BS27" i="14"/>
  <c r="BR27" i="14"/>
  <c r="BQ27" i="14"/>
  <c r="BP27" i="14"/>
  <c r="BO27" i="14"/>
  <c r="BN27" i="14"/>
  <c r="BM27" i="14"/>
  <c r="BL27" i="14"/>
  <c r="BK27" i="14"/>
  <c r="BJ27" i="14"/>
  <c r="BI27" i="14"/>
  <c r="BH27" i="14"/>
  <c r="BG27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AM27" i="14"/>
  <c r="AL27" i="14"/>
  <c r="AK27" i="14"/>
  <c r="AJ27" i="14"/>
  <c r="AI27" i="14"/>
  <c r="AH27" i="14"/>
  <c r="AG27" i="14"/>
  <c r="AF27" i="14"/>
  <c r="AE27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DC21" i="14"/>
  <c r="DB21" i="14"/>
  <c r="DA21" i="14"/>
  <c r="CZ21" i="14"/>
  <c r="CY21" i="14"/>
  <c r="CX21" i="14"/>
  <c r="CW21" i="14"/>
  <c r="CV21" i="14"/>
  <c r="CU21" i="14"/>
  <c r="CT21" i="14"/>
  <c r="CS21" i="14"/>
  <c r="CR21" i="14"/>
  <c r="CQ21" i="14"/>
  <c r="CP21" i="14"/>
  <c r="CO21" i="14"/>
  <c r="CN21" i="14"/>
  <c r="CM21" i="14"/>
  <c r="CL21" i="14"/>
  <c r="CK21" i="14"/>
  <c r="CJ21" i="14"/>
  <c r="CI21" i="14"/>
  <c r="CH21" i="14"/>
  <c r="CG21" i="14"/>
  <c r="CF21" i="14"/>
  <c r="CE21" i="14"/>
  <c r="CD21" i="14"/>
  <c r="CC21" i="14"/>
  <c r="CB21" i="14"/>
  <c r="CA21" i="14"/>
  <c r="BZ21" i="14"/>
  <c r="BY21" i="14"/>
  <c r="BX21" i="14"/>
  <c r="BW21" i="14"/>
  <c r="BV21" i="14"/>
  <c r="BU21" i="14"/>
  <c r="BT21" i="14"/>
  <c r="BS21" i="14"/>
  <c r="BR21" i="14"/>
  <c r="BQ21" i="14"/>
  <c r="BP21" i="14"/>
  <c r="BO21" i="14"/>
  <c r="BN21" i="14"/>
  <c r="BM21" i="14"/>
  <c r="BL21" i="14"/>
  <c r="BK21" i="14"/>
  <c r="BJ21" i="14"/>
  <c r="BI21" i="14"/>
  <c r="BH21" i="14"/>
  <c r="BG21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CK28" i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CQ28" i="1" s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CQ27" i="1" s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CQ26" i="1" s="1"/>
  <c r="U26" i="1"/>
  <c r="CQ25" i="1"/>
  <c r="DC25" i="1" s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P26" i="1" l="1"/>
  <c r="CP27" i="1"/>
  <c r="CP28" i="1"/>
  <c r="DB28" i="1" s="1"/>
  <c r="CP25" i="1"/>
  <c r="DB25" i="1" s="1"/>
  <c r="DB26" i="1"/>
  <c r="CV26" i="1"/>
  <c r="CV27" i="1"/>
  <c r="DB27" i="1"/>
  <c r="CW26" i="1"/>
  <c r="DC26" i="1"/>
  <c r="DC28" i="1"/>
  <c r="CW28" i="1"/>
  <c r="CW27" i="1"/>
  <c r="DC27" i="1"/>
  <c r="CW25" i="1"/>
  <c r="CQ22" i="1"/>
  <c r="CQ18" i="1"/>
  <c r="CQ14" i="1"/>
  <c r="CW14" i="1" s="1"/>
  <c r="CQ10" i="1"/>
  <c r="CW10" i="1" s="1"/>
  <c r="CQ6" i="1"/>
  <c r="BL30" i="1"/>
  <c r="CP21" i="1"/>
  <c r="CP5" i="1"/>
  <c r="CP9" i="1"/>
  <c r="DB9" i="1" s="1"/>
  <c r="CP13" i="1"/>
  <c r="CP17" i="1"/>
  <c r="CV17" i="1" s="1"/>
  <c r="CP23" i="1"/>
  <c r="CV23" i="1" s="1"/>
  <c r="CP19" i="1"/>
  <c r="DB19" i="1" s="1"/>
  <c r="CP15" i="1"/>
  <c r="DB15" i="1" s="1"/>
  <c r="CP11" i="1"/>
  <c r="CP7" i="1"/>
  <c r="BK31" i="1"/>
  <c r="BK32" i="1" s="1"/>
  <c r="CP22" i="1"/>
  <c r="CP18" i="1"/>
  <c r="DB18" i="1" s="1"/>
  <c r="CP14" i="1"/>
  <c r="DB14" i="1" s="1"/>
  <c r="CP10" i="1"/>
  <c r="CP6" i="1"/>
  <c r="DB6" i="1" s="1"/>
  <c r="BD30" i="1"/>
  <c r="CQ21" i="1"/>
  <c r="CW21" i="1" s="1"/>
  <c r="CQ17" i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A30" i="1"/>
  <c r="BV30" i="1"/>
  <c r="CJ30" i="1"/>
  <c r="BQ31" i="1"/>
  <c r="BQ32" i="1" s="1"/>
  <c r="AW30" i="1"/>
  <c r="AC31" i="1"/>
  <c r="AC32" i="1" s="1"/>
  <c r="DC4" i="1"/>
  <c r="CW4" i="1"/>
  <c r="DB5" i="1"/>
  <c r="CV5" i="1"/>
  <c r="CV6" i="1"/>
  <c r="DC6" i="1"/>
  <c r="CW6" i="1"/>
  <c r="DB7" i="1"/>
  <c r="CV7" i="1"/>
  <c r="DB8" i="1"/>
  <c r="CV8" i="1"/>
  <c r="CW8" i="1"/>
  <c r="CV9" i="1"/>
  <c r="DB10" i="1"/>
  <c r="CV10" i="1"/>
  <c r="CV11" i="1"/>
  <c r="DB11" i="1"/>
  <c r="CV12" i="1"/>
  <c r="CW12" i="1"/>
  <c r="DB13" i="1"/>
  <c r="CV13" i="1"/>
  <c r="CW13" i="1"/>
  <c r="DC15" i="1"/>
  <c r="DC16" i="1"/>
  <c r="CW16" i="1"/>
  <c r="DB17" i="1"/>
  <c r="DC17" i="1"/>
  <c r="CW17" i="1"/>
  <c r="DC18" i="1"/>
  <c r="CW18" i="1"/>
  <c r="DC19" i="1"/>
  <c r="CW19" i="1"/>
  <c r="DC20" i="1"/>
  <c r="DB21" i="1"/>
  <c r="CV21" i="1"/>
  <c r="DB22" i="1"/>
  <c r="CV22" i="1"/>
  <c r="DC22" i="1"/>
  <c r="CW22" i="1"/>
  <c r="DB23" i="1"/>
  <c r="CQ3" i="1"/>
  <c r="CP3" i="1"/>
  <c r="U30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K31" i="1"/>
  <c r="CK32" i="1" s="1"/>
  <c r="CK30" i="1"/>
  <c r="CE31" i="1"/>
  <c r="CE32" i="1" s="1"/>
  <c r="CE30" i="1"/>
  <c r="CF30" i="1"/>
  <c r="BV31" i="1"/>
  <c r="BV32" i="1" s="1"/>
  <c r="BQ30" i="1"/>
  <c r="BE30" i="1"/>
  <c r="BE31" i="1"/>
  <c r="BE32" i="1" s="1"/>
  <c r="AQ30" i="1"/>
  <c r="AP30" i="1"/>
  <c r="AP31" i="1"/>
  <c r="AP32" i="1" s="1"/>
  <c r="AC30" i="1"/>
  <c r="CW5" i="1" l="1"/>
  <c r="DC14" i="1"/>
  <c r="DC24" i="1"/>
  <c r="DC10" i="1"/>
  <c r="DC7" i="1"/>
  <c r="CV25" i="1"/>
  <c r="CV28" i="1"/>
  <c r="CV18" i="1"/>
  <c r="CW23" i="1"/>
  <c r="CJ31" i="1"/>
  <c r="CJ32" i="1" s="1"/>
  <c r="CV14" i="1"/>
  <c r="BK30" i="1"/>
  <c r="DB20" i="1"/>
  <c r="DB16" i="1"/>
  <c r="DC11" i="1"/>
  <c r="DC9" i="1"/>
  <c r="AX31" i="1"/>
  <c r="AX32" i="1" s="1"/>
  <c r="CF31" i="1"/>
  <c r="CF32" i="1" s="1"/>
  <c r="AJ30" i="1"/>
  <c r="AX30" i="1"/>
  <c r="BL31" i="1"/>
  <c r="BL32" i="1" s="1"/>
  <c r="BZ30" i="1"/>
  <c r="CV24" i="1"/>
  <c r="CV19" i="1"/>
  <c r="CV15" i="1"/>
  <c r="CV4" i="1"/>
  <c r="AB30" i="1"/>
  <c r="BZ31" i="1"/>
  <c r="BZ32" i="1" s="1"/>
  <c r="AB31" i="1"/>
  <c r="AB32" i="1" s="1"/>
  <c r="BU30" i="1"/>
  <c r="DC21" i="1"/>
  <c r="BD31" i="1"/>
  <c r="BD32" i="1" s="1"/>
  <c r="BU31" i="1"/>
  <c r="BU32" i="1" s="1"/>
  <c r="AW31" i="1"/>
  <c r="AW32" i="1" s="1"/>
  <c r="BP31" i="1"/>
  <c r="BP32" i="1" s="1"/>
  <c r="BP30" i="1"/>
  <c r="CA31" i="1"/>
  <c r="CA32" i="1" s="1"/>
  <c r="AJ31" i="1"/>
  <c r="AJ32" i="1" s="1"/>
  <c r="AQ31" i="1"/>
  <c r="AQ32" i="1" s="1"/>
  <c r="DC3" i="1"/>
  <c r="CW3" i="1"/>
  <c r="V30" i="1"/>
  <c r="V31" i="1"/>
  <c r="V32" i="1" s="1"/>
  <c r="DB3" i="1"/>
  <c r="CV3" i="1"/>
  <c r="U31" i="1"/>
  <c r="U32" i="1" s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  <c r="AI31" i="1"/>
  <c r="AI32" i="1" s="1"/>
  <c r="AI30" i="1"/>
  <c r="CQ30" i="1" l="1"/>
  <c r="DC30" i="1" s="1"/>
  <c r="CQ31" i="1"/>
  <c r="CP30" i="1"/>
  <c r="DB30" i="1" s="1"/>
  <c r="CP31" i="1"/>
  <c r="DC31" i="1" l="1"/>
  <c r="CQ32" i="1"/>
  <c r="DC32" i="1" s="1"/>
  <c r="DB31" i="1"/>
  <c r="CP32" i="1"/>
  <c r="DB32" i="1" s="1"/>
</calcChain>
</file>

<file path=xl/sharedStrings.xml><?xml version="1.0" encoding="utf-8"?>
<sst xmlns="http://schemas.openxmlformats.org/spreadsheetml/2006/main" count="1193" uniqueCount="199">
  <si>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</si>
  <si>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</si>
  <si>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</si>
  <si>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</si>
  <si>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</si>
  <si>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</si>
  <si>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</si>
  <si>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</si>
  <si>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</si>
  <si>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</si>
  <si>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</si>
  <si>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</si>
  <si>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</si>
  <si>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</si>
  <si>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</si>
  <si>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</si>
  <si>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</si>
  <si>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</si>
  <si>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</si>
  <si>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</si>
  <si>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</si>
  <si>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</si>
  <si>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</si>
  <si>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</si>
  <si>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</si>
  <si>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</si>
  <si>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</si>
  <si>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</si>
  <si>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</si>
  <si>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</si>
  <si>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</si>
  <si>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</si>
  <si>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</si>
  <si>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</si>
  <si>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</si>
  <si>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</si>
  <si>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</si>
  <si>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</si>
  <si>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</si>
  <si>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</si>
  <si>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</si>
  <si>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</si>
  <si>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</si>
  <si>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</si>
  <si>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</si>
  <si>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</si>
  <si>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</si>
  <si>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</si>
  <si>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</si>
  <si>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</si>
  <si>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</si>
  <si>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</si>
  <si>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</si>
  <si>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</si>
  <si>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</si>
  <si>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</si>
  <si>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</si>
  <si>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</si>
  <si>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</si>
  <si>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</si>
  <si>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</si>
  <si>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</si>
  <si>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</si>
  <si>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</si>
  <si>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</si>
  <si>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</si>
  <si>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</si>
  <si>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</si>
  <si>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</si>
  <si>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</si>
  <si>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</si>
  <si>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</si>
  <si>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</si>
  <si>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</si>
  <si>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</si>
  <si>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</si>
  <si>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</si>
  <si>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</si>
  <si>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</si>
  <si>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</si>
  <si>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</si>
  <si>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</si>
  <si>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</si>
  <si>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</si>
  <si>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</si>
  <si>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</si>
  <si>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</si>
  <si>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</si>
  <si>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</si>
  <si>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</si>
  <si>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</si>
  <si>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</si>
  <si>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</si>
  <si>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</si>
  <si>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</si>
  <si>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</si>
  <si>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</si>
  <si>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</si>
  <si>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</si>
  <si>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</si>
  <si>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</si>
  <si>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</si>
  <si>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</si>
  <si>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</si>
  <si>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</si>
  <si>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</si>
  <si>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</si>
  <si>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</si>
  <si>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</si>
  <si>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</si>
  <si>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</si>
  <si>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</si>
  <si>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</si>
  <si>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</si>
  <si>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</si>
  <si>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</si>
  <si>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</si>
  <si>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</si>
  <si>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</si>
  <si>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</si>
  <si>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</si>
  <si>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</si>
  <si>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</si>
  <si>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</si>
  <si>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</si>
  <si>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</si>
  <si>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</si>
  <si>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</si>
  <si>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</si>
  <si>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</si>
  <si>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</si>
  <si>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</si>
  <si>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</si>
  <si>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</si>
  <si>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</si>
  <si>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</si>
  <si>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</si>
  <si>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</si>
  <si>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</si>
  <si>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</si>
  <si>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</si>
  <si>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</si>
  <si>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</si>
  <si>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</si>
  <si>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</si>
  <si>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</si>
  <si>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</si>
  <si>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</si>
  <si>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</si>
  <si>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</si>
  <si>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</si>
  <si>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</si>
  <si>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</si>
  <si>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</si>
  <si>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</si>
  <si>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</si>
  <si>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</si>
  <si>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</si>
  <si>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</si>
  <si>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</si>
  <si>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</si>
  <si>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</si>
  <si>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</si>
  <si>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</si>
  <si>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</si>
  <si>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</si>
  <si>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</si>
  <si>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</si>
  <si>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</si>
  <si>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</si>
  <si>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</si>
  <si>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</si>
  <si>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</si>
  <si>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</si>
  <si>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差异：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</si>
  <si>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</si>
  <si>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</si>
  <si>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</si>
  <si>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</si>
  <si>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</si>
  <si>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</si>
  <si>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</si>
  <si>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</si>
  <si>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</si>
  <si>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</si>
  <si>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</si>
  <si>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</si>
  <si>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</si>
  <si>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</si>
  <si>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Kilian</t>
  </si>
  <si>
    <t>本月补发薪资：0</t>
  </si>
  <si>
    <t>本月补发福利：0</t>
  </si>
  <si>
    <t>本月补发加班费：0</t>
  </si>
  <si>
    <t>HC：0</t>
  </si>
  <si>
    <t>KL</t>
  </si>
  <si>
    <t>KL合计：</t>
  </si>
  <si>
    <t>FM合计：</t>
    <phoneticPr fontId="22" type="noConversion"/>
  </si>
  <si>
    <t>KL</t>
    <phoneticPr fontId="22" type="noConversion"/>
  </si>
  <si>
    <t>Y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</si>
</sst>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90EE9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6" fontId="21" fillId="35" borderId="0" xfId="0" applyNumberFormat="1" applyFont="1" applyFill="1" applyAlignment="1">
      <alignment horizontal="right"/>
    </xf>
    <xf numFmtId="0" fontId="21" fillId="34" borderId="0" xfId="0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6" borderId="0" xfId="0" applyFont="1" applyFill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tabSelected="1" zoomScaleNormal="100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F22" sqref="F22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4"/>
      <c r="B1" s="24"/>
    </row>
    <row r="2" spans="1:107" s="1" customFormat="1" x14ac:dyDescent="0.3">
      <c r="A2" s="1" t="s">
        <v>194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198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22" t="s">
        <v>126</v>
      </c>
      <c r="C21" s="5" t="s">
        <v>197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22" t="s">
        <v>126</v>
      </c>
      <c r="C23" s="5" t="s">
        <v>197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23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22" t="s">
        <v>126</v>
      </c>
      <c r="C25" s="5" t="s">
        <v>197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22" t="s">
        <v>126</v>
      </c>
      <c r="C27" s="5" t="s">
        <v>197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23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29" spans="1:107" s="10" customFormat="1" x14ac:dyDescent="0.3">
      <c r="B29" s="23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8"/>
      <c r="V29" s="8"/>
      <c r="W29" s="14"/>
      <c r="X29" s="14"/>
      <c r="Y29" s="14"/>
      <c r="Z29" s="14"/>
      <c r="AA29" s="14"/>
      <c r="AB29" s="8"/>
      <c r="AC29" s="8"/>
      <c r="AD29" s="14"/>
      <c r="AE29" s="14"/>
      <c r="AF29" s="14"/>
      <c r="AG29" s="14"/>
      <c r="AH29" s="8"/>
      <c r="AI29" s="8"/>
      <c r="AJ29" s="8"/>
      <c r="AK29" s="14"/>
      <c r="AL29" s="14"/>
      <c r="AM29" s="14"/>
      <c r="AN29" s="14"/>
      <c r="AO29" s="8"/>
      <c r="AP29" s="8"/>
      <c r="AQ29" s="8"/>
      <c r="AR29" s="14"/>
      <c r="AS29" s="14"/>
      <c r="AT29" s="14"/>
      <c r="AU29" s="14"/>
      <c r="AV29" s="8"/>
      <c r="AW29" s="8"/>
      <c r="AX29" s="8"/>
      <c r="AY29" s="14"/>
      <c r="AZ29" s="14"/>
      <c r="BA29" s="14"/>
      <c r="BB29" s="14"/>
      <c r="BC29" s="8"/>
      <c r="BD29" s="8"/>
      <c r="BE29" s="8"/>
      <c r="BF29" s="14"/>
      <c r="BG29" s="14"/>
      <c r="BH29" s="14"/>
      <c r="BI29" s="14"/>
      <c r="BJ29" s="8"/>
      <c r="BK29" s="8"/>
      <c r="BL29" s="8"/>
      <c r="BM29" s="14"/>
      <c r="BN29" s="14"/>
      <c r="BO29" s="14"/>
      <c r="BP29" s="8"/>
      <c r="BQ29" s="8"/>
      <c r="BR29" s="14"/>
      <c r="BS29" s="14"/>
      <c r="BT29" s="14"/>
      <c r="BU29" s="8"/>
      <c r="BV29" s="8"/>
      <c r="BW29" s="14"/>
      <c r="BX29" s="14"/>
      <c r="BY29" s="14"/>
      <c r="BZ29" s="8"/>
      <c r="CA29" s="8"/>
      <c r="CB29" s="14"/>
      <c r="CC29" s="14"/>
      <c r="CD29" s="14"/>
      <c r="CE29" s="8"/>
      <c r="CF29" s="8"/>
      <c r="CG29" s="14"/>
      <c r="CH29" s="14"/>
      <c r="CI29" s="14"/>
      <c r="CJ29" s="8"/>
      <c r="CK29" s="8"/>
      <c r="CL29" s="14"/>
      <c r="CM29" s="14"/>
      <c r="CN29" s="14"/>
      <c r="CO29" s="14"/>
      <c r="CP29" s="9"/>
      <c r="CQ29" s="9"/>
      <c r="CR29" s="14"/>
      <c r="CS29" s="14"/>
      <c r="CT29" s="14"/>
      <c r="CU29" s="14"/>
      <c r="CV29" s="8"/>
      <c r="CW29" s="8"/>
      <c r="CX29" s="14"/>
      <c r="CY29" s="14"/>
      <c r="CZ29" s="14"/>
      <c r="DA29" s="14"/>
      <c r="DB29" s="8"/>
      <c r="DC29" s="8"/>
    </row>
    <row r="30" spans="1:107" s="4" customFormat="1" x14ac:dyDescent="0.3">
      <c r="C30" s="5"/>
      <c r="D30" s="5" t="s">
        <v>174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7"/>
      <c r="R30" s="7"/>
      <c r="S30" s="8"/>
      <c r="T30" s="8"/>
      <c r="U30" s="8">
        <f>U29-U26</f>
        <v>0</v>
      </c>
      <c r="V30" s="8">
        <f>V29-V26</f>
        <v>0</v>
      </c>
      <c r="W30" s="8">
        <v>9</v>
      </c>
      <c r="X30" s="8">
        <v>0</v>
      </c>
      <c r="Y30" s="8">
        <v>0</v>
      </c>
      <c r="Z30" s="8">
        <v>0</v>
      </c>
      <c r="AA30" s="8">
        <v>0</v>
      </c>
      <c r="AB30" s="8">
        <f>AB29-AB26</f>
        <v>0</v>
      </c>
      <c r="AC30" s="8">
        <f>AC29-AC26</f>
        <v>0</v>
      </c>
      <c r="AD30" s="8">
        <v>-1</v>
      </c>
      <c r="AE30" s="8">
        <v>0</v>
      </c>
      <c r="AF30" s="8">
        <v>0</v>
      </c>
      <c r="AG30" s="8">
        <v>0</v>
      </c>
      <c r="AH30" s="8">
        <v>0</v>
      </c>
      <c r="AI30" s="8">
        <f>AI29-AI26</f>
        <v>0</v>
      </c>
      <c r="AJ30" s="8">
        <f>AJ29-AJ26</f>
        <v>0</v>
      </c>
      <c r="AK30" s="8">
        <v>3</v>
      </c>
      <c r="AL30" s="8">
        <v>0</v>
      </c>
      <c r="AM30" s="8">
        <v>0</v>
      </c>
      <c r="AN30" s="8">
        <v>0</v>
      </c>
      <c r="AO30" s="8">
        <v>0</v>
      </c>
      <c r="AP30" s="8">
        <f>AP29-AP26</f>
        <v>0</v>
      </c>
      <c r="AQ30" s="8">
        <f>AQ29-AQ26</f>
        <v>0</v>
      </c>
      <c r="AR30" s="8">
        <v>-3</v>
      </c>
      <c r="AS30" s="8">
        <v>0</v>
      </c>
      <c r="AT30" s="8">
        <v>0</v>
      </c>
      <c r="AU30" s="8">
        <v>0</v>
      </c>
      <c r="AV30" s="8">
        <v>0</v>
      </c>
      <c r="AW30" s="8">
        <f>AW29-AW26</f>
        <v>0</v>
      </c>
      <c r="AX30" s="8">
        <f>AX29-AX26</f>
        <v>0</v>
      </c>
      <c r="AY30" s="8">
        <v>-3</v>
      </c>
      <c r="AZ30" s="8">
        <v>0</v>
      </c>
      <c r="BA30" s="8">
        <v>0</v>
      </c>
      <c r="BB30" s="8">
        <v>0</v>
      </c>
      <c r="BC30" s="8">
        <v>0</v>
      </c>
      <c r="BD30" s="8">
        <f>BD29-BD26</f>
        <v>0</v>
      </c>
      <c r="BE30" s="8">
        <f>BE29-BE26</f>
        <v>0</v>
      </c>
      <c r="BF30" s="8">
        <v>-7</v>
      </c>
      <c r="BG30" s="8">
        <v>0</v>
      </c>
      <c r="BH30" s="8">
        <v>0</v>
      </c>
      <c r="BI30" s="8">
        <v>0</v>
      </c>
      <c r="BJ30" s="8">
        <v>0</v>
      </c>
      <c r="BK30" s="8">
        <f>BK29-BK26</f>
        <v>0</v>
      </c>
      <c r="BL30" s="8">
        <f>BL29-BL26</f>
        <v>0</v>
      </c>
      <c r="BM30" s="8">
        <v>-7</v>
      </c>
      <c r="BN30" s="8">
        <v>0</v>
      </c>
      <c r="BO30" s="8">
        <v>0</v>
      </c>
      <c r="BP30" s="8">
        <f>BP29-BP26</f>
        <v>0</v>
      </c>
      <c r="BQ30" s="8">
        <f>BQ29-BQ26</f>
        <v>0</v>
      </c>
      <c r="BR30" s="8">
        <v>-2</v>
      </c>
      <c r="BS30" s="8">
        <v>0</v>
      </c>
      <c r="BT30" s="8">
        <v>0</v>
      </c>
      <c r="BU30" s="8">
        <f>BU29-BU26</f>
        <v>-4000</v>
      </c>
      <c r="BV30" s="8">
        <f>BV29-BV26</f>
        <v>-4000</v>
      </c>
      <c r="BW30" s="8">
        <v>-10</v>
      </c>
      <c r="BX30" s="8">
        <v>0</v>
      </c>
      <c r="BY30" s="8">
        <v>0</v>
      </c>
      <c r="BZ30" s="8">
        <f>BZ29-BZ26</f>
        <v>-4000</v>
      </c>
      <c r="CA30" s="8">
        <f>CA29-CA26</f>
        <v>-4000</v>
      </c>
      <c r="CB30" s="8">
        <v>-10</v>
      </c>
      <c r="CC30" s="8">
        <v>0</v>
      </c>
      <c r="CD30" s="8">
        <v>0</v>
      </c>
      <c r="CE30" s="8">
        <f>CE29-CE26</f>
        <v>-4000</v>
      </c>
      <c r="CF30" s="8">
        <f>CF29-CF26</f>
        <v>-4000</v>
      </c>
      <c r="CG30" s="8">
        <v>-10</v>
      </c>
      <c r="CH30" s="8">
        <v>0</v>
      </c>
      <c r="CI30" s="8">
        <v>0</v>
      </c>
      <c r="CJ30" s="8">
        <f>CJ29-CJ26</f>
        <v>-4000</v>
      </c>
      <c r="CK30" s="8">
        <f>CK29-CK26</f>
        <v>-4000</v>
      </c>
      <c r="CL30" s="8">
        <v>-10</v>
      </c>
      <c r="CM30" s="8">
        <v>0</v>
      </c>
      <c r="CN30" s="8">
        <v>0</v>
      </c>
      <c r="CO30" s="8">
        <v>0</v>
      </c>
      <c r="CP30" s="8">
        <f>CP29-CP26</f>
        <v>-16000</v>
      </c>
      <c r="CQ30" s="8">
        <f>CQ29-CQ26</f>
        <v>-16000</v>
      </c>
      <c r="CR30" s="8">
        <v>-4.3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f t="shared" ref="DB30:DB32" si="60">CP30</f>
        <v>-16000</v>
      </c>
      <c r="DC30" s="8">
        <f t="shared" ref="DC30:DC32" si="61">CQ30</f>
        <v>-16000</v>
      </c>
    </row>
    <row r="31" spans="1:107" s="10" customFormat="1" x14ac:dyDescent="0.3">
      <c r="C31" s="11"/>
      <c r="D31" s="11" t="s">
        <v>175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3"/>
      <c r="R31" s="13"/>
      <c r="S31" s="14"/>
      <c r="T31" s="14"/>
      <c r="U31" s="14">
        <f>U26</f>
        <v>0</v>
      </c>
      <c r="V31" s="14">
        <f>V26</f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f>AB26</f>
        <v>0</v>
      </c>
      <c r="AC31" s="14">
        <f>AC26</f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14">
        <f>AI26</f>
        <v>0</v>
      </c>
      <c r="AJ31" s="14">
        <f>AJ26</f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f>AP26</f>
        <v>0</v>
      </c>
      <c r="AQ31" s="14">
        <f>AQ26</f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f>AW26</f>
        <v>0</v>
      </c>
      <c r="AX31" s="14">
        <f>AX26</f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f>BD26</f>
        <v>0</v>
      </c>
      <c r="BE31" s="14">
        <f>BE26</f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14">
        <f>BK26</f>
        <v>0</v>
      </c>
      <c r="BL31" s="14">
        <f>BL26</f>
        <v>0</v>
      </c>
      <c r="BM31" s="14">
        <v>0</v>
      </c>
      <c r="BN31" s="14">
        <v>0</v>
      </c>
      <c r="BO31" s="14">
        <v>0</v>
      </c>
      <c r="BP31" s="14">
        <f>BP26</f>
        <v>0</v>
      </c>
      <c r="BQ31" s="14">
        <f>BQ26</f>
        <v>0</v>
      </c>
      <c r="BR31" s="14">
        <v>0</v>
      </c>
      <c r="BS31" s="14">
        <v>0</v>
      </c>
      <c r="BT31" s="14">
        <v>0</v>
      </c>
      <c r="BU31" s="14">
        <f>BU26</f>
        <v>4000</v>
      </c>
      <c r="BV31" s="14">
        <f>BV26</f>
        <v>4000</v>
      </c>
      <c r="BW31" s="14">
        <v>0</v>
      </c>
      <c r="BX31" s="14">
        <v>0</v>
      </c>
      <c r="BY31" s="14">
        <v>0</v>
      </c>
      <c r="BZ31" s="14">
        <f>BZ26</f>
        <v>4000</v>
      </c>
      <c r="CA31" s="14">
        <f>CA26</f>
        <v>4000</v>
      </c>
      <c r="CB31" s="14">
        <v>0</v>
      </c>
      <c r="CC31" s="14">
        <v>0</v>
      </c>
      <c r="CD31" s="14">
        <v>0</v>
      </c>
      <c r="CE31" s="14">
        <f>CE26</f>
        <v>4000</v>
      </c>
      <c r="CF31" s="14">
        <f>CF26</f>
        <v>4000</v>
      </c>
      <c r="CG31" s="14">
        <v>0</v>
      </c>
      <c r="CH31" s="14">
        <v>0</v>
      </c>
      <c r="CI31" s="14">
        <v>0</v>
      </c>
      <c r="CJ31" s="14">
        <f>CJ26</f>
        <v>4000</v>
      </c>
      <c r="CK31" s="14">
        <f>CK26</f>
        <v>4000</v>
      </c>
      <c r="CL31" s="14">
        <v>0</v>
      </c>
      <c r="CM31" s="14">
        <v>0</v>
      </c>
      <c r="CN31" s="14">
        <v>0</v>
      </c>
      <c r="CO31" s="14">
        <v>0</v>
      </c>
      <c r="CP31" s="14">
        <f>CP26</f>
        <v>16000</v>
      </c>
      <c r="CQ31" s="14">
        <f>CQ26</f>
        <v>16000</v>
      </c>
      <c r="CR31" s="14">
        <v>0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8">
        <f t="shared" si="60"/>
        <v>16000</v>
      </c>
      <c r="DC31" s="8">
        <f t="shared" si="61"/>
        <v>16000</v>
      </c>
    </row>
    <row r="32" spans="1:107" s="4" customFormat="1" x14ac:dyDescent="0.3">
      <c r="C32" s="5"/>
      <c r="D32" s="5" t="s">
        <v>176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/>
      <c r="T32" s="8"/>
      <c r="U32" s="8">
        <f>U29-U31</f>
        <v>0</v>
      </c>
      <c r="V32" s="8">
        <f>V29-V31</f>
        <v>0</v>
      </c>
      <c r="W32" s="8">
        <v>0</v>
      </c>
      <c r="X32" s="8">
        <v>0</v>
      </c>
      <c r="Y32" s="8">
        <v>0</v>
      </c>
      <c r="Z32" s="8">
        <v>0</v>
      </c>
      <c r="AA32" s="8">
        <v>0</v>
      </c>
      <c r="AB32" s="8">
        <f>AB29-AB31</f>
        <v>0</v>
      </c>
      <c r="AC32" s="8">
        <f>AC29-AC31</f>
        <v>0</v>
      </c>
      <c r="AD32" s="8">
        <v>0</v>
      </c>
      <c r="AE32" s="8">
        <v>0</v>
      </c>
      <c r="AF32" s="8">
        <v>0</v>
      </c>
      <c r="AG32" s="8">
        <v>0</v>
      </c>
      <c r="AH32" s="8">
        <v>0</v>
      </c>
      <c r="AI32" s="8">
        <f>AI29-AI31</f>
        <v>0</v>
      </c>
      <c r="AJ32" s="8">
        <f>AJ29-AJ31</f>
        <v>0</v>
      </c>
      <c r="AK32" s="8">
        <v>0</v>
      </c>
      <c r="AL32" s="8">
        <v>0</v>
      </c>
      <c r="AM32" s="8">
        <v>0</v>
      </c>
      <c r="AN32" s="8">
        <v>0</v>
      </c>
      <c r="AO32" s="8">
        <v>0</v>
      </c>
      <c r="AP32" s="8">
        <f>AP29-AP31</f>
        <v>0</v>
      </c>
      <c r="AQ32" s="8">
        <f>AQ29-AQ31</f>
        <v>0</v>
      </c>
      <c r="AR32" s="8">
        <v>0</v>
      </c>
      <c r="AS32" s="8">
        <v>0</v>
      </c>
      <c r="AT32" s="8">
        <v>0</v>
      </c>
      <c r="AU32" s="8">
        <v>0</v>
      </c>
      <c r="AV32" s="8">
        <v>0</v>
      </c>
      <c r="AW32" s="8">
        <f>AW29-AW31</f>
        <v>0</v>
      </c>
      <c r="AX32" s="8">
        <f>AX29-AX31</f>
        <v>0</v>
      </c>
      <c r="AY32" s="8">
        <v>0</v>
      </c>
      <c r="AZ32" s="8">
        <v>0</v>
      </c>
      <c r="BA32" s="8">
        <v>0</v>
      </c>
      <c r="BB32" s="8">
        <v>0</v>
      </c>
      <c r="BC32" s="8">
        <v>0</v>
      </c>
      <c r="BD32" s="8">
        <f>BD29-BD31</f>
        <v>0</v>
      </c>
      <c r="BE32" s="8">
        <f>BE29-BE31</f>
        <v>0</v>
      </c>
      <c r="BF32" s="8">
        <v>0</v>
      </c>
      <c r="BG32" s="8">
        <v>0</v>
      </c>
      <c r="BH32" s="8">
        <v>0</v>
      </c>
      <c r="BI32" s="8">
        <v>0</v>
      </c>
      <c r="BJ32" s="8">
        <v>0</v>
      </c>
      <c r="BK32" s="8">
        <f>BK29-BK31</f>
        <v>0</v>
      </c>
      <c r="BL32" s="8">
        <f>BL29-BL31</f>
        <v>0</v>
      </c>
      <c r="BM32" s="8">
        <v>0</v>
      </c>
      <c r="BN32" s="8">
        <v>0</v>
      </c>
      <c r="BO32" s="8">
        <v>0</v>
      </c>
      <c r="BP32" s="8">
        <f>BP29-BP31</f>
        <v>0</v>
      </c>
      <c r="BQ32" s="8">
        <f>BQ29-BQ31</f>
        <v>0</v>
      </c>
      <c r="BR32" s="8">
        <v>0</v>
      </c>
      <c r="BS32" s="8">
        <v>0</v>
      </c>
      <c r="BT32" s="8">
        <v>0</v>
      </c>
      <c r="BU32" s="8">
        <f>BU29-BU31</f>
        <v>-4000</v>
      </c>
      <c r="BV32" s="8">
        <f>BV29-BV31</f>
        <v>-4000</v>
      </c>
      <c r="BW32" s="8">
        <v>0</v>
      </c>
      <c r="BX32" s="8">
        <v>0</v>
      </c>
      <c r="BY32" s="8">
        <v>0</v>
      </c>
      <c r="BZ32" s="8">
        <f>BZ29-BZ31</f>
        <v>-4000</v>
      </c>
      <c r="CA32" s="8">
        <f>CA29-CA31</f>
        <v>-4000</v>
      </c>
      <c r="CB32" s="8">
        <v>0</v>
      </c>
      <c r="CC32" s="8">
        <v>0</v>
      </c>
      <c r="CD32" s="8">
        <v>0</v>
      </c>
      <c r="CE32" s="8">
        <f>CE29-CE31</f>
        <v>-4000</v>
      </c>
      <c r="CF32" s="8">
        <f>CF29-CF31</f>
        <v>-4000</v>
      </c>
      <c r="CG32" s="8">
        <v>0</v>
      </c>
      <c r="CH32" s="8">
        <v>0</v>
      </c>
      <c r="CI32" s="8">
        <v>0</v>
      </c>
      <c r="CJ32" s="8">
        <f>CJ29-CJ31</f>
        <v>-4000</v>
      </c>
      <c r="CK32" s="8">
        <f>CK29-CK31</f>
        <v>-4000</v>
      </c>
      <c r="CL32" s="8">
        <v>0</v>
      </c>
      <c r="CM32" s="8">
        <v>0</v>
      </c>
      <c r="CN32" s="8">
        <v>0</v>
      </c>
      <c r="CO32" s="8">
        <v>0</v>
      </c>
      <c r="CP32" s="8">
        <f>CP29-CP31</f>
        <v>-16000</v>
      </c>
      <c r="CQ32" s="8">
        <f>CQ29-CQ31</f>
        <v>-16000</v>
      </c>
      <c r="CR32" s="8">
        <v>0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f t="shared" si="60"/>
        <v>-16000</v>
      </c>
      <c r="DC32" s="8">
        <f t="shared" si="61"/>
        <v>-16000</v>
      </c>
    </row>
    <row r="33" spans="3:107" s="10" customFormat="1" x14ac:dyDescent="0.3">
      <c r="C33" s="11"/>
      <c r="D33" s="18" t="s">
        <v>177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14"/>
      <c r="V33" s="17"/>
      <c r="W33" s="14"/>
      <c r="X33" s="14"/>
      <c r="Y33" s="14"/>
      <c r="Z33" s="14"/>
      <c r="AA33" s="14"/>
      <c r="AB33" s="14"/>
      <c r="AC33" s="17"/>
      <c r="AD33" s="14"/>
      <c r="AE33" s="14"/>
      <c r="AF33" s="14"/>
      <c r="AG33" s="14"/>
      <c r="AH33" s="14"/>
      <c r="AI33" s="14"/>
      <c r="AJ33" s="17"/>
      <c r="AK33" s="14"/>
      <c r="AL33" s="14"/>
      <c r="AM33" s="14"/>
      <c r="AN33" s="14"/>
      <c r="AO33" s="14"/>
      <c r="AP33" s="14"/>
      <c r="AQ33" s="17"/>
      <c r="AR33" s="14"/>
      <c r="AS33" s="14"/>
      <c r="AT33" s="14"/>
      <c r="AU33" s="14"/>
      <c r="AV33" s="14"/>
      <c r="AW33" s="14"/>
      <c r="AX33" s="17"/>
      <c r="AY33" s="14"/>
      <c r="AZ33" s="14"/>
      <c r="BA33" s="14"/>
      <c r="BB33" s="14"/>
      <c r="BC33" s="14"/>
      <c r="BD33" s="14"/>
      <c r="BE33" s="17"/>
      <c r="BF33" s="14"/>
      <c r="BG33" s="14"/>
      <c r="BH33" s="14"/>
      <c r="BI33" s="14"/>
      <c r="BJ33" s="14"/>
      <c r="BK33" s="14"/>
      <c r="BL33" s="17"/>
      <c r="BM33" s="14"/>
      <c r="BN33" s="14"/>
      <c r="BO33" s="14"/>
      <c r="BP33" s="14">
        <v>100</v>
      </c>
      <c r="BQ33" s="17">
        <v>100</v>
      </c>
      <c r="BR33" s="14"/>
      <c r="BS33" s="14"/>
      <c r="BT33" s="14"/>
      <c r="BU33" s="14">
        <v>96</v>
      </c>
      <c r="BV33" s="17">
        <v>93.8</v>
      </c>
      <c r="BW33" s="14"/>
      <c r="BX33" s="14"/>
      <c r="BY33" s="14"/>
      <c r="BZ33" s="14">
        <v>96</v>
      </c>
      <c r="CA33" s="17">
        <v>93.8</v>
      </c>
      <c r="CB33" s="14"/>
      <c r="CC33" s="14"/>
      <c r="CD33" s="14"/>
      <c r="CE33" s="14">
        <v>96</v>
      </c>
      <c r="CF33" s="17">
        <v>93.8</v>
      </c>
      <c r="CG33" s="14"/>
      <c r="CH33" s="14"/>
      <c r="CI33" s="14"/>
      <c r="CJ33" s="14">
        <v>96</v>
      </c>
      <c r="CK33" s="17">
        <v>93.8</v>
      </c>
      <c r="CL33" s="14"/>
      <c r="CM33" s="14"/>
      <c r="CN33" s="14"/>
      <c r="CO33" s="14"/>
      <c r="CP33" s="15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7"/>
    </row>
    <row r="34" spans="3:107" s="4" customFormat="1" x14ac:dyDescent="0.3">
      <c r="C34" s="5"/>
      <c r="D34" s="18" t="s">
        <v>178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7"/>
      <c r="R34" s="7"/>
      <c r="S34" s="8"/>
      <c r="T34" s="8"/>
      <c r="U34" s="8"/>
      <c r="V34" s="16"/>
      <c r="W34" s="8"/>
      <c r="X34" s="8"/>
      <c r="Y34" s="8"/>
      <c r="Z34" s="8"/>
      <c r="AA34" s="8"/>
      <c r="AB34" s="8"/>
      <c r="AC34" s="16"/>
      <c r="AD34" s="8"/>
      <c r="AE34" s="8"/>
      <c r="AF34" s="8"/>
      <c r="AG34" s="8"/>
      <c r="AH34" s="8"/>
      <c r="AI34" s="8"/>
      <c r="AJ34" s="16"/>
      <c r="AK34" s="8"/>
      <c r="AL34" s="8"/>
      <c r="AM34" s="8"/>
      <c r="AN34" s="8"/>
      <c r="AO34" s="8"/>
      <c r="AP34" s="8"/>
      <c r="AQ34" s="16"/>
      <c r="AR34" s="8"/>
      <c r="AS34" s="8"/>
      <c r="AT34" s="8"/>
      <c r="AU34" s="8"/>
      <c r="AV34" s="8"/>
      <c r="AW34" s="8"/>
      <c r="AX34" s="16"/>
      <c r="AY34" s="8"/>
      <c r="AZ34" s="8"/>
      <c r="BA34" s="8"/>
      <c r="BB34" s="8"/>
      <c r="BC34" s="8"/>
      <c r="BD34" s="8"/>
      <c r="BE34" s="16"/>
      <c r="BF34" s="8"/>
      <c r="BG34" s="8"/>
      <c r="BH34" s="8"/>
      <c r="BI34" s="8"/>
      <c r="BJ34" s="8"/>
      <c r="BK34" s="8"/>
      <c r="BL34" s="16"/>
      <c r="BM34" s="8"/>
      <c r="BN34" s="8"/>
      <c r="BO34" s="8"/>
      <c r="BP34" s="8">
        <v>100</v>
      </c>
      <c r="BQ34" s="16">
        <v>100</v>
      </c>
      <c r="BR34" s="8"/>
      <c r="BS34" s="8"/>
      <c r="BT34" s="8"/>
      <c r="BU34" s="8">
        <v>100</v>
      </c>
      <c r="BV34" s="16">
        <v>100</v>
      </c>
      <c r="BW34" s="8"/>
      <c r="BX34" s="8"/>
      <c r="BY34" s="8"/>
      <c r="BZ34" s="8">
        <v>100</v>
      </c>
      <c r="CA34" s="16">
        <v>100</v>
      </c>
      <c r="CB34" s="8"/>
      <c r="CC34" s="8"/>
      <c r="CD34" s="8"/>
      <c r="CE34" s="8">
        <v>100</v>
      </c>
      <c r="CF34" s="16">
        <v>100</v>
      </c>
      <c r="CG34" s="8"/>
      <c r="CH34" s="8"/>
      <c r="CI34" s="8"/>
      <c r="CJ34" s="8">
        <v>100</v>
      </c>
      <c r="CK34" s="16">
        <v>100</v>
      </c>
      <c r="CL34" s="8"/>
      <c r="CM34" s="8"/>
      <c r="CN34" s="8"/>
      <c r="CO34" s="8"/>
      <c r="CP34" s="9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16"/>
    </row>
    <row r="35" spans="3:107" s="10" customFormat="1" x14ac:dyDescent="0.3">
      <c r="C35" s="11"/>
      <c r="D35" s="11" t="s">
        <v>179</v>
      </c>
      <c r="E35" s="11"/>
      <c r="F35" s="11"/>
      <c r="G35" s="11" t="s">
        <v>180</v>
      </c>
      <c r="H35" s="11"/>
      <c r="I35" s="11"/>
      <c r="J35" s="11"/>
      <c r="K35" s="11"/>
      <c r="L35" s="11"/>
      <c r="M35" s="11"/>
      <c r="N35" s="11"/>
      <c r="O35" s="12"/>
      <c r="P35" s="12"/>
      <c r="Q35" s="13"/>
      <c r="R35" s="13"/>
      <c r="S35" s="14"/>
      <c r="T35" s="14"/>
      <c r="U35" s="14"/>
      <c r="V35" s="17"/>
      <c r="W35" s="14"/>
      <c r="X35" s="14"/>
      <c r="Y35" s="14"/>
      <c r="Z35" s="14"/>
      <c r="AA35" s="14"/>
      <c r="AB35" s="14"/>
      <c r="AC35" s="17"/>
      <c r="AD35" s="14"/>
      <c r="AE35" s="14"/>
      <c r="AF35" s="14"/>
      <c r="AG35" s="14"/>
      <c r="AH35" s="14"/>
      <c r="AI35" s="14"/>
      <c r="AJ35" s="17"/>
      <c r="AK35" s="14"/>
      <c r="AL35" s="14"/>
      <c r="AM35" s="14"/>
      <c r="AN35" s="14"/>
      <c r="AO35" s="14"/>
      <c r="AP35" s="14"/>
      <c r="AQ35" s="17"/>
      <c r="AR35" s="14"/>
      <c r="AS35" s="14"/>
      <c r="AT35" s="14"/>
      <c r="AU35" s="14"/>
      <c r="AV35" s="14"/>
      <c r="AW35" s="14"/>
      <c r="AX35" s="17"/>
      <c r="AY35" s="14"/>
      <c r="AZ35" s="14"/>
      <c r="BA35" s="14"/>
      <c r="BB35" s="14"/>
      <c r="BC35" s="14"/>
      <c r="BD35" s="14"/>
      <c r="BE35" s="17"/>
      <c r="BF35" s="14"/>
      <c r="BG35" s="14"/>
      <c r="BH35" s="14"/>
      <c r="BI35" s="14"/>
      <c r="BJ35" s="14"/>
      <c r="BK35" s="14"/>
      <c r="BL35" s="17"/>
      <c r="BM35" s="14"/>
      <c r="BN35" s="14"/>
      <c r="BO35" s="14"/>
      <c r="BP35" s="14"/>
      <c r="BQ35" s="17"/>
      <c r="BR35" s="14"/>
      <c r="BS35" s="14"/>
      <c r="BT35" s="14"/>
      <c r="BU35" s="14"/>
      <c r="BV35" s="17"/>
      <c r="BW35" s="14"/>
      <c r="BX35" s="14"/>
      <c r="BY35" s="14"/>
      <c r="BZ35" s="14"/>
      <c r="CA35" s="17"/>
      <c r="CB35" s="14"/>
      <c r="CC35" s="14"/>
      <c r="CD35" s="14"/>
      <c r="CE35" s="14"/>
      <c r="CF35" s="17"/>
      <c r="CG35" s="14"/>
      <c r="CH35" s="14"/>
      <c r="CI35" s="14"/>
      <c r="CJ35" s="14"/>
      <c r="CK35" s="17"/>
      <c r="CL35" s="14"/>
      <c r="CM35" s="14"/>
      <c r="CN35" s="14"/>
      <c r="CO35" s="14"/>
      <c r="CP35" s="15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7"/>
    </row>
    <row r="36" spans="3:107" s="4" customFormat="1" x14ac:dyDescent="0.3">
      <c r="C36" s="5"/>
      <c r="D36" s="5" t="s">
        <v>181</v>
      </c>
      <c r="E36" s="5"/>
      <c r="F36" s="5"/>
      <c r="G36" s="5" t="s">
        <v>182</v>
      </c>
      <c r="H36" s="5"/>
      <c r="I36" s="5"/>
      <c r="J36" s="5"/>
      <c r="K36" s="5"/>
      <c r="L36" s="5"/>
      <c r="M36" s="5"/>
      <c r="N36" s="5"/>
      <c r="O36" s="6"/>
      <c r="P36" s="6"/>
      <c r="Q36" s="7"/>
      <c r="R36" s="7"/>
      <c r="S36" s="8"/>
      <c r="T36" s="8"/>
      <c r="U36" s="8"/>
      <c r="V36" s="16"/>
      <c r="W36" s="8"/>
      <c r="X36" s="8"/>
      <c r="Y36" s="8"/>
      <c r="Z36" s="8"/>
      <c r="AA36" s="8"/>
      <c r="AB36" s="8"/>
      <c r="AC36" s="16"/>
      <c r="AD36" s="8"/>
      <c r="AE36" s="8"/>
      <c r="AF36" s="8"/>
      <c r="AG36" s="8"/>
      <c r="AH36" s="8"/>
      <c r="AI36" s="8"/>
      <c r="AJ36" s="16"/>
      <c r="AK36" s="8"/>
      <c r="AL36" s="8"/>
      <c r="AM36" s="8"/>
      <c r="AN36" s="8"/>
      <c r="AO36" s="8"/>
      <c r="AP36" s="8"/>
      <c r="AQ36" s="16"/>
      <c r="AR36" s="8"/>
      <c r="AS36" s="8"/>
      <c r="AT36" s="8"/>
      <c r="AU36" s="8"/>
      <c r="AV36" s="8"/>
      <c r="AW36" s="8"/>
      <c r="AX36" s="16"/>
      <c r="AY36" s="8"/>
      <c r="AZ36" s="8"/>
      <c r="BA36" s="8"/>
      <c r="BB36" s="8"/>
      <c r="BC36" s="8"/>
      <c r="BD36" s="8"/>
      <c r="BE36" s="16"/>
      <c r="BF36" s="8"/>
      <c r="BG36" s="8"/>
      <c r="BH36" s="8"/>
      <c r="BI36" s="8"/>
      <c r="BJ36" s="8"/>
      <c r="BK36" s="8"/>
      <c r="BL36" s="16"/>
      <c r="BM36" s="8"/>
      <c r="BN36" s="8"/>
      <c r="BO36" s="8"/>
      <c r="BP36" s="8"/>
      <c r="BQ36" s="16"/>
      <c r="BR36" s="8"/>
      <c r="BS36" s="8"/>
      <c r="BT36" s="8"/>
      <c r="BU36" s="8"/>
      <c r="BV36" s="16"/>
      <c r="BW36" s="8"/>
      <c r="BX36" s="8"/>
      <c r="BY36" s="8"/>
      <c r="BZ36" s="8"/>
      <c r="CA36" s="16"/>
      <c r="CB36" s="8"/>
      <c r="CC36" s="8"/>
      <c r="CD36" s="8"/>
      <c r="CE36" s="8"/>
      <c r="CF36" s="16"/>
      <c r="CG36" s="8"/>
      <c r="CH36" s="8"/>
      <c r="CI36" s="8"/>
      <c r="CJ36" s="8"/>
      <c r="CK36" s="16"/>
      <c r="CL36" s="8"/>
      <c r="CM36" s="8"/>
      <c r="CN36" s="8"/>
      <c r="CO36" s="8"/>
      <c r="CP36" s="9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16"/>
    </row>
    <row r="37" spans="3:107" s="10" customFormat="1" x14ac:dyDescent="0.3">
      <c r="C37" s="11"/>
      <c r="D37" s="11" t="s">
        <v>183</v>
      </c>
      <c r="E37" s="11"/>
      <c r="F37" s="11"/>
      <c r="G37" s="11" t="s">
        <v>184</v>
      </c>
      <c r="H37" s="11"/>
      <c r="I37" s="11"/>
      <c r="J37" s="11"/>
      <c r="K37" s="11"/>
      <c r="L37" s="11"/>
      <c r="M37" s="11"/>
      <c r="N37" s="11"/>
      <c r="O37" s="12"/>
      <c r="P37" s="12"/>
      <c r="Q37" s="13"/>
      <c r="R37" s="13"/>
      <c r="S37" s="14"/>
      <c r="T37" s="14"/>
      <c r="U37" s="14"/>
      <c r="V37" s="17"/>
      <c r="W37" s="14"/>
      <c r="X37" s="14"/>
      <c r="Y37" s="14"/>
      <c r="Z37" s="14"/>
      <c r="AA37" s="14"/>
      <c r="AB37" s="14"/>
      <c r="AC37" s="17"/>
      <c r="AD37" s="14"/>
      <c r="AE37" s="14"/>
      <c r="AF37" s="14"/>
      <c r="AG37" s="14"/>
      <c r="AH37" s="14"/>
      <c r="AI37" s="14"/>
      <c r="AJ37" s="17"/>
      <c r="AK37" s="14"/>
      <c r="AL37" s="14"/>
      <c r="AM37" s="14"/>
      <c r="AN37" s="14"/>
      <c r="AO37" s="14"/>
      <c r="AP37" s="14"/>
      <c r="AQ37" s="17"/>
      <c r="AR37" s="14"/>
      <c r="AS37" s="14"/>
      <c r="AT37" s="14"/>
      <c r="AU37" s="14"/>
      <c r="AV37" s="14"/>
      <c r="AW37" s="14"/>
      <c r="AX37" s="17"/>
      <c r="AY37" s="14"/>
      <c r="AZ37" s="14"/>
      <c r="BA37" s="14"/>
      <c r="BB37" s="14"/>
      <c r="BC37" s="14"/>
      <c r="BD37" s="14"/>
      <c r="BE37" s="17"/>
      <c r="BF37" s="14"/>
      <c r="BG37" s="14"/>
      <c r="BH37" s="14"/>
      <c r="BI37" s="14"/>
      <c r="BJ37" s="14"/>
      <c r="BK37" s="14"/>
      <c r="BL37" s="17"/>
      <c r="BM37" s="14"/>
      <c r="BN37" s="14"/>
      <c r="BO37" s="14"/>
      <c r="BP37" s="14"/>
      <c r="BQ37" s="17"/>
      <c r="BR37" s="14"/>
      <c r="BS37" s="14"/>
      <c r="BT37" s="14"/>
      <c r="BU37" s="14"/>
      <c r="BV37" s="17"/>
      <c r="BW37" s="14"/>
      <c r="BX37" s="14"/>
      <c r="BY37" s="14"/>
      <c r="BZ37" s="14"/>
      <c r="CA37" s="17"/>
      <c r="CB37" s="14"/>
      <c r="CC37" s="14"/>
      <c r="CD37" s="14"/>
      <c r="CE37" s="14"/>
      <c r="CF37" s="17"/>
      <c r="CG37" s="14"/>
      <c r="CH37" s="14"/>
      <c r="CI37" s="14"/>
      <c r="CJ37" s="14"/>
      <c r="CK37" s="17"/>
      <c r="CL37" s="14"/>
      <c r="CM37" s="14"/>
      <c r="CN37" s="14"/>
      <c r="CO37" s="14"/>
      <c r="CP37" s="15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7"/>
    </row>
    <row r="38" spans="3:107" s="4" customFormat="1" x14ac:dyDescent="0.3">
      <c r="C38" s="5"/>
      <c r="D38" s="5" t="s">
        <v>185</v>
      </c>
      <c r="E38" s="5"/>
      <c r="F38" s="5"/>
      <c r="G38" s="5" t="s">
        <v>182</v>
      </c>
      <c r="H38" s="5"/>
      <c r="I38" s="5"/>
      <c r="J38" s="5"/>
      <c r="K38" s="5"/>
      <c r="L38" s="5"/>
      <c r="M38" s="5"/>
      <c r="N38" s="5"/>
      <c r="O38" s="6"/>
      <c r="P38" s="6"/>
      <c r="Q38" s="7"/>
      <c r="R38" s="7"/>
      <c r="S38" s="8"/>
      <c r="T38" s="8"/>
      <c r="U38" s="8"/>
      <c r="V38" s="16"/>
      <c r="W38" s="8"/>
      <c r="X38" s="8"/>
      <c r="Y38" s="8"/>
      <c r="Z38" s="8"/>
      <c r="AA38" s="8"/>
      <c r="AB38" s="8"/>
      <c r="AC38" s="16"/>
      <c r="AD38" s="8"/>
      <c r="AE38" s="8"/>
      <c r="AF38" s="8"/>
      <c r="AG38" s="8"/>
      <c r="AH38" s="8"/>
      <c r="AI38" s="8"/>
      <c r="AJ38" s="16"/>
      <c r="AK38" s="8"/>
      <c r="AL38" s="8"/>
      <c r="AM38" s="8"/>
      <c r="AN38" s="8"/>
      <c r="AO38" s="8"/>
      <c r="AP38" s="8"/>
      <c r="AQ38" s="16"/>
      <c r="AR38" s="8"/>
      <c r="AS38" s="8"/>
      <c r="AT38" s="8"/>
      <c r="AU38" s="8"/>
      <c r="AV38" s="8"/>
      <c r="AW38" s="8"/>
      <c r="AX38" s="16"/>
      <c r="AY38" s="8"/>
      <c r="AZ38" s="8"/>
      <c r="BA38" s="8"/>
      <c r="BB38" s="8"/>
      <c r="BC38" s="8"/>
      <c r="BD38" s="8"/>
      <c r="BE38" s="16"/>
      <c r="BF38" s="8"/>
      <c r="BG38" s="8"/>
      <c r="BH38" s="8"/>
      <c r="BI38" s="8"/>
      <c r="BJ38" s="8"/>
      <c r="BK38" s="8"/>
      <c r="BL38" s="16"/>
      <c r="BM38" s="8"/>
      <c r="BN38" s="8"/>
      <c r="BO38" s="8"/>
      <c r="BP38" s="8"/>
      <c r="BQ38" s="16"/>
      <c r="BR38" s="8"/>
      <c r="BS38" s="8"/>
      <c r="BT38" s="8"/>
      <c r="BU38" s="8"/>
      <c r="BV38" s="16"/>
      <c r="BW38" s="8"/>
      <c r="BX38" s="8"/>
      <c r="BY38" s="8"/>
      <c r="BZ38" s="8"/>
      <c r="CA38" s="16"/>
      <c r="CB38" s="8"/>
      <c r="CC38" s="8"/>
      <c r="CD38" s="8"/>
      <c r="CE38" s="8"/>
      <c r="CF38" s="16"/>
      <c r="CG38" s="8"/>
      <c r="CH38" s="8"/>
      <c r="CI38" s="8"/>
      <c r="CJ38" s="8"/>
      <c r="CK38" s="16"/>
      <c r="CL38" s="8"/>
      <c r="CM38" s="8"/>
      <c r="CN38" s="8"/>
      <c r="CO38" s="8"/>
      <c r="CP38" s="9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16"/>
    </row>
    <row r="39" spans="3:107" s="10" customFormat="1" x14ac:dyDescent="0.3">
      <c r="C39" s="11"/>
      <c r="D39" s="11" t="s">
        <v>186</v>
      </c>
      <c r="E39" s="11"/>
      <c r="F39" s="11"/>
      <c r="G39" s="11" t="s">
        <v>187</v>
      </c>
      <c r="H39" s="11"/>
      <c r="I39" s="11"/>
      <c r="J39" s="11"/>
      <c r="K39" s="11"/>
      <c r="L39" s="11"/>
      <c r="M39" s="11"/>
      <c r="N39" s="11"/>
      <c r="O39" s="12"/>
      <c r="P39" s="12"/>
      <c r="Q39" s="13"/>
      <c r="R39" s="13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7"/>
      <c r="AD39" s="14"/>
      <c r="AE39" s="14"/>
      <c r="AF39" s="14"/>
      <c r="AG39" s="14"/>
      <c r="AH39" s="14"/>
      <c r="AI39" s="14"/>
      <c r="AJ39" s="17"/>
      <c r="AK39" s="14"/>
      <c r="AL39" s="14"/>
      <c r="AM39" s="14"/>
      <c r="AN39" s="14"/>
      <c r="AO39" s="14"/>
      <c r="AP39" s="14"/>
      <c r="AQ39" s="17"/>
      <c r="AR39" s="14"/>
      <c r="AS39" s="14"/>
      <c r="AT39" s="14"/>
      <c r="AU39" s="14"/>
      <c r="AV39" s="14"/>
      <c r="AW39" s="14"/>
      <c r="AX39" s="17"/>
      <c r="AY39" s="14"/>
      <c r="AZ39" s="14"/>
      <c r="BA39" s="14"/>
      <c r="BB39" s="14"/>
      <c r="BC39" s="14"/>
      <c r="BD39" s="14"/>
      <c r="BE39" s="17"/>
      <c r="BF39" s="14"/>
      <c r="BG39" s="14"/>
      <c r="BH39" s="14"/>
      <c r="BI39" s="14"/>
      <c r="BJ39" s="14"/>
      <c r="BK39" s="14"/>
      <c r="BL39" s="17"/>
      <c r="BM39" s="14"/>
      <c r="BN39" s="14"/>
      <c r="BO39" s="14"/>
      <c r="BP39" s="14"/>
      <c r="BQ39" s="17"/>
      <c r="BR39" s="14"/>
      <c r="BS39" s="14"/>
      <c r="BT39" s="14"/>
      <c r="BU39" s="14"/>
      <c r="BV39" s="17"/>
      <c r="BW39" s="14"/>
      <c r="BX39" s="14"/>
      <c r="BY39" s="14"/>
      <c r="BZ39" s="14"/>
      <c r="CA39" s="17"/>
      <c r="CB39" s="14"/>
      <c r="CC39" s="14"/>
      <c r="CD39" s="14"/>
      <c r="CE39" s="14"/>
      <c r="CF39" s="17"/>
      <c r="CG39" s="14"/>
      <c r="CH39" s="14"/>
      <c r="CI39" s="14"/>
      <c r="CJ39" s="14"/>
      <c r="CK39" s="17"/>
      <c r="CL39" s="14"/>
      <c r="CM39" s="14"/>
      <c r="CN39" s="14"/>
      <c r="CO39" s="14"/>
      <c r="CP39" s="15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7"/>
    </row>
    <row r="40" spans="3:107" s="4" customFormat="1" x14ac:dyDescent="0.3">
      <c r="C40" s="5"/>
      <c r="D40" s="5" t="s">
        <v>188</v>
      </c>
      <c r="E40" s="5"/>
      <c r="F40" s="5"/>
      <c r="G40" s="5" t="s">
        <v>190</v>
      </c>
      <c r="H40" s="5" t="s">
        <v>191</v>
      </c>
      <c r="I40" s="5"/>
      <c r="J40" s="5"/>
      <c r="K40" s="5"/>
      <c r="L40" s="5"/>
      <c r="M40" s="5"/>
      <c r="N40" s="5"/>
      <c r="O40" s="6"/>
      <c r="P40" s="6"/>
      <c r="Q40" s="7"/>
      <c r="R40" s="7"/>
      <c r="S40" s="8"/>
      <c r="T40" s="8"/>
      <c r="U40" s="8"/>
      <c r="V40" s="16"/>
      <c r="W40" s="8"/>
      <c r="X40" s="8"/>
      <c r="Y40" s="8"/>
      <c r="Z40" s="8"/>
      <c r="AA40" s="8"/>
      <c r="AB40" s="8"/>
      <c r="AC40" s="16"/>
      <c r="AD40" s="8"/>
      <c r="AE40" s="8"/>
      <c r="AF40" s="8"/>
      <c r="AG40" s="8"/>
      <c r="AH40" s="8"/>
      <c r="AI40" s="8"/>
      <c r="AJ40" s="16"/>
      <c r="AK40" s="8"/>
      <c r="AL40" s="8"/>
      <c r="AM40" s="8"/>
      <c r="AN40" s="8"/>
      <c r="AO40" s="8"/>
      <c r="AP40" s="8"/>
      <c r="AQ40" s="16"/>
      <c r="AR40" s="8"/>
      <c r="AS40" s="8"/>
      <c r="AT40" s="8"/>
      <c r="AU40" s="8"/>
      <c r="AV40" s="8"/>
      <c r="AW40" s="8"/>
      <c r="AX40" s="16"/>
      <c r="AY40" s="8"/>
      <c r="AZ40" s="8"/>
      <c r="BA40" s="8"/>
      <c r="BB40" s="8"/>
      <c r="BC40" s="8"/>
      <c r="BD40" s="8"/>
      <c r="BE40" s="16"/>
      <c r="BF40" s="8"/>
      <c r="BG40" s="8"/>
      <c r="BH40" s="8"/>
      <c r="BI40" s="8"/>
      <c r="BJ40" s="8"/>
      <c r="BK40" s="8"/>
      <c r="BL40" s="16"/>
      <c r="BM40" s="8"/>
      <c r="BN40" s="8"/>
      <c r="BO40" s="8"/>
      <c r="BP40" s="8"/>
      <c r="BQ40" s="16"/>
      <c r="BR40" s="8"/>
      <c r="BS40" s="8"/>
      <c r="BT40" s="8"/>
      <c r="BU40" s="8"/>
      <c r="BV40" s="16"/>
      <c r="BW40" s="8"/>
      <c r="BX40" s="8"/>
      <c r="BY40" s="8"/>
      <c r="BZ40" s="8"/>
      <c r="CA40" s="16"/>
      <c r="CB40" s="8"/>
      <c r="CC40" s="8"/>
      <c r="CD40" s="8"/>
      <c r="CE40" s="8"/>
      <c r="CF40" s="16"/>
      <c r="CG40" s="8"/>
      <c r="CH40" s="8"/>
      <c r="CI40" s="8"/>
      <c r="CJ40" s="8"/>
      <c r="CK40" s="16"/>
      <c r="CL40" s="8"/>
      <c r="CM40" s="8"/>
      <c r="CN40" s="8"/>
      <c r="CO40" s="8"/>
      <c r="CP40" s="9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16"/>
    </row>
    <row r="41" spans="3:107" s="10" customFormat="1" x14ac:dyDescent="0.3">
      <c r="C41" s="11"/>
      <c r="D41" s="11"/>
      <c r="E41" s="11"/>
      <c r="F41" s="11"/>
      <c r="G41" s="11" t="s">
        <v>193</v>
      </c>
      <c r="H41" s="11" t="s">
        <v>192</v>
      </c>
      <c r="I41" s="11"/>
      <c r="J41" s="11"/>
      <c r="K41" s="11"/>
      <c r="L41" s="11"/>
      <c r="M41" s="11"/>
      <c r="N41" s="11"/>
      <c r="O41" s="12"/>
      <c r="P41" s="12"/>
      <c r="Q41" s="13"/>
      <c r="R41" s="13"/>
      <c r="S41" s="14"/>
      <c r="T41" s="14"/>
      <c r="U41" s="14"/>
      <c r="V41" s="17"/>
      <c r="W41" s="14"/>
      <c r="X41" s="14"/>
      <c r="Y41" s="14"/>
      <c r="Z41" s="14"/>
      <c r="AA41" s="14"/>
      <c r="AB41" s="14"/>
      <c r="AC41" s="17"/>
      <c r="AD41" s="14"/>
      <c r="AE41" s="14"/>
      <c r="AF41" s="14"/>
      <c r="AG41" s="14"/>
      <c r="AH41" s="14"/>
      <c r="AI41" s="14"/>
      <c r="AJ41" s="17"/>
      <c r="AK41" s="14"/>
      <c r="AL41" s="14"/>
      <c r="AM41" s="14"/>
      <c r="AN41" s="14"/>
      <c r="AO41" s="14"/>
      <c r="AP41" s="14"/>
      <c r="AQ41" s="17"/>
      <c r="AR41" s="14"/>
      <c r="AS41" s="14"/>
      <c r="AT41" s="14"/>
      <c r="AU41" s="14"/>
      <c r="AV41" s="14"/>
      <c r="AW41" s="14"/>
      <c r="AX41" s="17"/>
      <c r="AY41" s="14"/>
      <c r="AZ41" s="14"/>
      <c r="BA41" s="14"/>
      <c r="BB41" s="14"/>
      <c r="BC41" s="14"/>
      <c r="BD41" s="14"/>
      <c r="BE41" s="17"/>
      <c r="BF41" s="14"/>
      <c r="BG41" s="14"/>
      <c r="BH41" s="14"/>
      <c r="BI41" s="14"/>
      <c r="BJ41" s="14"/>
      <c r="BK41" s="14"/>
      <c r="BL41" s="17"/>
      <c r="BM41" s="14"/>
      <c r="BN41" s="14"/>
      <c r="BO41" s="14"/>
      <c r="BP41" s="14"/>
      <c r="BQ41" s="17"/>
      <c r="BR41" s="14"/>
      <c r="BS41" s="14"/>
      <c r="BT41" s="14"/>
      <c r="BU41" s="14"/>
      <c r="BV41" s="17"/>
      <c r="BW41" s="14"/>
      <c r="BX41" s="14"/>
      <c r="BY41" s="14"/>
      <c r="BZ41" s="14"/>
      <c r="CA41" s="17"/>
      <c r="CB41" s="14"/>
      <c r="CC41" s="14"/>
      <c r="CD41" s="14"/>
      <c r="CE41" s="14"/>
      <c r="CF41" s="17"/>
      <c r="CG41" s="14"/>
      <c r="CH41" s="14"/>
      <c r="CI41" s="14"/>
      <c r="CJ41" s="14"/>
      <c r="CK41" s="17"/>
      <c r="CL41" s="14"/>
      <c r="CM41" s="14"/>
      <c r="CN41" s="14"/>
      <c r="CO41" s="14"/>
      <c r="CP41" s="15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7"/>
    </row>
  </sheetData>
  <mergeCells count="1">
    <mergeCell ref="A1:B1"/>
  </mergeCells>
  <phoneticPr fontId="22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DC33A-FD5E-4B72-BE76-5F58243CD778}">
  <dimension ref="A1:DC32"/>
  <sheetViews>
    <sheetView workbookViewId="0">
      <selection activeCell="F26" sqref="F26"/>
    </sheetView>
  </sheetViews>
  <sheetFormatPr defaultRowHeight="14" x14ac:dyDescent="0.3"/>
  <sheetData>
    <row r="1" spans="1:107" x14ac:dyDescent="0.3">
      <c r="A1" s="1" t="s">
        <v>194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 x14ac:dyDescent="0.3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 x14ac:dyDescent="0.3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 x14ac:dyDescent="0.3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 x14ac:dyDescent="0.3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 x14ac:dyDescent="0.3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 x14ac:dyDescent="0.3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 x14ac:dyDescent="0.3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 x14ac:dyDescent="0.3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 x14ac:dyDescent="0.3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 x14ac:dyDescent="0.3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 x14ac:dyDescent="0.3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 x14ac:dyDescent="0.3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 x14ac:dyDescent="0.3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 x14ac:dyDescent="0.3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 x14ac:dyDescent="0.3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 x14ac:dyDescent="0.3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 x14ac:dyDescent="0.3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 x14ac:dyDescent="0.3">
      <c r="A19" s="10"/>
      <c r="B19" s="10"/>
      <c r="C19" s="11" t="s">
        <v>105</v>
      </c>
      <c r="D19" s="11" t="s">
        <v>106</v>
      </c>
      <c r="E19" s="11" t="s">
        <v>124</v>
      </c>
      <c r="F19" s="11" t="s">
        <v>167</v>
      </c>
      <c r="G19" s="11"/>
      <c r="H19" s="11" t="s">
        <v>168</v>
      </c>
      <c r="I19" s="11" t="s">
        <v>168</v>
      </c>
      <c r="J19" s="11" t="s">
        <v>109</v>
      </c>
      <c r="K19" s="11" t="s">
        <v>168</v>
      </c>
      <c r="L19" s="11" t="s">
        <v>168</v>
      </c>
      <c r="M19" s="11" t="s">
        <v>163</v>
      </c>
      <c r="N19" s="11" t="s">
        <v>128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0</v>
      </c>
      <c r="AJ19" s="8">
        <v>0</v>
      </c>
      <c r="AK19" s="14">
        <v>0</v>
      </c>
      <c r="AL19" s="14">
        <v>0</v>
      </c>
      <c r="AM19" s="14">
        <v>0</v>
      </c>
      <c r="AN19" s="14">
        <v>0</v>
      </c>
      <c r="AO19" s="8">
        <v>0</v>
      </c>
      <c r="AP19" s="8">
        <v>0</v>
      </c>
      <c r="AQ19" s="8">
        <v>0</v>
      </c>
      <c r="AR19" s="14">
        <v>0</v>
      </c>
      <c r="AS19" s="14">
        <v>0</v>
      </c>
      <c r="AT19" s="14">
        <v>0</v>
      </c>
      <c r="AU19" s="14">
        <v>0</v>
      </c>
      <c r="AV19" s="8">
        <v>0</v>
      </c>
      <c r="AW19" s="8">
        <v>0</v>
      </c>
      <c r="AX19" s="8">
        <v>0</v>
      </c>
      <c r="AY19" s="14">
        <v>0</v>
      </c>
      <c r="AZ19" s="14">
        <v>0</v>
      </c>
      <c r="BA19" s="14">
        <v>0</v>
      </c>
      <c r="BB19" s="14">
        <v>0</v>
      </c>
      <c r="BC19" s="8">
        <v>0</v>
      </c>
      <c r="BD19" s="8">
        <v>0</v>
      </c>
      <c r="BE19" s="8">
        <v>0</v>
      </c>
      <c r="BF19" s="14">
        <v>0</v>
      </c>
      <c r="BG19" s="14">
        <v>0</v>
      </c>
      <c r="BH19" s="14">
        <v>0</v>
      </c>
      <c r="BI19" s="14">
        <v>0</v>
      </c>
      <c r="BJ19" s="8">
        <v>0</v>
      </c>
      <c r="BK19" s="8">
        <v>0</v>
      </c>
      <c r="BL19" s="8">
        <v>0</v>
      </c>
      <c r="BM19" s="14">
        <v>0</v>
      </c>
      <c r="BN19" s="14">
        <v>0</v>
      </c>
      <c r="BO19" s="14">
        <v>0</v>
      </c>
      <c r="BP19" s="8">
        <v>0</v>
      </c>
      <c r="BQ19" s="8">
        <v>0</v>
      </c>
      <c r="BR19" s="14">
        <v>0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16000</v>
      </c>
      <c r="CQ19" s="9">
        <v>16000</v>
      </c>
      <c r="CR19" s="14">
        <v>1.3</v>
      </c>
      <c r="CS19" s="14">
        <v>0</v>
      </c>
      <c r="CT19" s="14">
        <v>0</v>
      </c>
      <c r="CU19" s="14">
        <v>0</v>
      </c>
      <c r="CV19" s="8">
        <v>-16000</v>
      </c>
      <c r="CW19" s="8">
        <v>-16000</v>
      </c>
      <c r="CX19" s="14">
        <v>0</v>
      </c>
      <c r="CY19" s="14">
        <v>0</v>
      </c>
      <c r="CZ19" s="14">
        <v>0</v>
      </c>
      <c r="DA19" s="14">
        <v>0</v>
      </c>
      <c r="DB19" s="8">
        <v>16000</v>
      </c>
      <c r="DC19" s="8">
        <v>16000</v>
      </c>
    </row>
    <row r="20" spans="1:107" x14ac:dyDescent="0.3">
      <c r="A20" s="4"/>
      <c r="B20" s="4"/>
      <c r="C20" s="5" t="s">
        <v>105</v>
      </c>
      <c r="D20" s="5" t="s">
        <v>106</v>
      </c>
      <c r="E20" s="5" t="s">
        <v>124</v>
      </c>
      <c r="F20" s="5" t="s">
        <v>167</v>
      </c>
      <c r="G20" s="5"/>
      <c r="H20" s="5" t="s">
        <v>168</v>
      </c>
      <c r="I20" s="5" t="s">
        <v>168</v>
      </c>
      <c r="J20" s="5" t="s">
        <v>109</v>
      </c>
      <c r="K20" s="5" t="s">
        <v>168</v>
      </c>
      <c r="L20" s="5" t="s">
        <v>168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v>0</v>
      </c>
      <c r="AI20" s="8"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v>0</v>
      </c>
      <c r="AP20" s="8"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v>0</v>
      </c>
      <c r="AW20" s="8"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v>0</v>
      </c>
      <c r="BD20" s="8"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v>0</v>
      </c>
      <c r="BK20" s="8">
        <v>0</v>
      </c>
      <c r="BL20" s="8">
        <v>0</v>
      </c>
      <c r="BM20" s="8">
        <v>0</v>
      </c>
      <c r="BN20" s="8">
        <v>0</v>
      </c>
      <c r="BO20" s="8">
        <v>0</v>
      </c>
      <c r="BP20" s="8">
        <v>0</v>
      </c>
      <c r="BQ20" s="8">
        <v>0</v>
      </c>
      <c r="BR20" s="8">
        <v>0</v>
      </c>
      <c r="BS20" s="8">
        <v>0</v>
      </c>
      <c r="BT20" s="8">
        <v>0</v>
      </c>
      <c r="BU20" s="8">
        <v>4000</v>
      </c>
      <c r="BV20" s="8">
        <v>4000</v>
      </c>
      <c r="BW20" s="8">
        <v>4</v>
      </c>
      <c r="BX20" s="8">
        <v>0</v>
      </c>
      <c r="BY20" s="8">
        <v>0</v>
      </c>
      <c r="BZ20" s="8">
        <v>4000</v>
      </c>
      <c r="CA20" s="8">
        <v>4000</v>
      </c>
      <c r="CB20" s="8">
        <v>4</v>
      </c>
      <c r="CC20" s="8">
        <v>0</v>
      </c>
      <c r="CD20" s="8">
        <v>0</v>
      </c>
      <c r="CE20" s="8">
        <v>4000</v>
      </c>
      <c r="CF20" s="8">
        <v>4000</v>
      </c>
      <c r="CG20" s="8">
        <v>4</v>
      </c>
      <c r="CH20" s="8">
        <v>0</v>
      </c>
      <c r="CI20" s="8">
        <v>0</v>
      </c>
      <c r="CJ20" s="8">
        <v>4000</v>
      </c>
      <c r="CK20" s="8">
        <v>4000</v>
      </c>
      <c r="CL20" s="8">
        <v>4</v>
      </c>
      <c r="CM20" s="8">
        <v>0</v>
      </c>
      <c r="CN20" s="8">
        <v>0</v>
      </c>
      <c r="CO20" s="8">
        <v>0</v>
      </c>
      <c r="CP20" s="9">
        <v>16000</v>
      </c>
      <c r="CQ20" s="9">
        <v>16000</v>
      </c>
      <c r="CR20" s="8">
        <v>1.3</v>
      </c>
      <c r="CS20" s="8">
        <v>0</v>
      </c>
      <c r="CT20" s="8">
        <v>0</v>
      </c>
      <c r="CU20" s="8">
        <v>0</v>
      </c>
      <c r="CV20" s="8">
        <v>-16000</v>
      </c>
      <c r="CW20" s="8">
        <v>-16000</v>
      </c>
      <c r="CX20" s="8">
        <v>0</v>
      </c>
      <c r="CY20" s="8">
        <v>0</v>
      </c>
      <c r="CZ20" s="8">
        <v>0</v>
      </c>
      <c r="DA20" s="8">
        <v>0</v>
      </c>
      <c r="DB20" s="8">
        <v>16000</v>
      </c>
      <c r="DC20" s="8">
        <v>16000</v>
      </c>
    </row>
    <row r="21" spans="1:107" x14ac:dyDescent="0.3">
      <c r="A21" s="10"/>
      <c r="B21" s="10"/>
      <c r="C21" s="11"/>
      <c r="D21" s="11" t="s">
        <v>173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2"/>
      <c r="Q21" s="13"/>
      <c r="R21" s="13"/>
      <c r="S21" s="14">
        <f>SUM($S$2,$S$3,$S$4,$S$5,$S$6,$S$7,$S$8,$S$9,$S$10,$S$11,$S$12,$S$13,$S$14,$S$15,$S$16,$S$17,$S$18,$S$19,$S$20)</f>
        <v>0</v>
      </c>
      <c r="T21" s="14">
        <f>SUM($T$2,$T$3,$T$4,$T$5,$T$6,$T$7,$T$8,$T$9,$T$10,$T$11,$T$12,$T$13,$T$14,$T$15,$T$16,$T$17,$T$18,$T$19,$T$20)</f>
        <v>0</v>
      </c>
      <c r="U21" s="8">
        <f>SUM($U$2,$U$3,$U$4,$U$5,$U$6,$U$7,$U$8,$U$9,$U$10,$U$11,$U$12,$U$13,$U$14,$U$15,$U$16,$U$17,$U$18,$U$19,$U$20)</f>
        <v>78000</v>
      </c>
      <c r="V21" s="8">
        <f>SUM($V$2,$V$3,$V$4,$V$5,$V$6,$V$7,$V$8,$V$9,$V$10,$V$11,$V$12,$V$13,$V$14,$V$15,$V$16,$V$17,$V$18,$V$19,$V$20)</f>
        <v>78000</v>
      </c>
      <c r="W21" s="14">
        <f>SUM($W$2,$W$3,$W$4,$W$5,$W$6,$W$7,$W$8,$W$9,$W$10,$W$11,$W$12,$W$13,$W$14,$W$15,$W$16,$W$17,$W$18,$W$19,$W$20)</f>
        <v>78</v>
      </c>
      <c r="X21" s="14">
        <f>SUM($X$2,$X$3,$X$4,$X$5,$X$6,$X$7,$X$8,$X$9,$X$10,$X$11,$X$12,$X$13,$X$14,$X$15,$X$16,$X$17,$X$18,$X$19,$X$20)</f>
        <v>0</v>
      </c>
      <c r="Y21" s="14">
        <f>SUM($Y$2,$Y$3,$Y$4,$Y$5,$Y$6,$Y$7,$Y$8,$Y$9,$Y$10,$Y$11,$Y$12,$Y$13,$Y$14,$Y$15,$Y$16,$Y$17,$Y$18,$Y$19,$Y$20)</f>
        <v>0</v>
      </c>
      <c r="Z21" s="14">
        <f>SUM($Z$2,$Z$3,$Z$4,$Z$5,$Z$6,$Z$7,$Z$8,$Z$9,$Z$10,$Z$11,$Z$12,$Z$13,$Z$14,$Z$15,$Z$16,$Z$17,$Z$18,$Z$19,$Z$20)</f>
        <v>0</v>
      </c>
      <c r="AA21" s="14">
        <f>SUM($AA$2,$AA$3,$AA$4,$AA$5,$AA$6,$AA$7,$AA$8,$AA$9,$AA$10,$AA$11,$AA$12,$AA$13,$AA$14,$AA$15,$AA$16,$AA$17,$AA$18,$AA$19,$AA$20)</f>
        <v>0</v>
      </c>
      <c r="AB21" s="8">
        <f>SUM($AB$2,$AB$3,$AB$4,$AB$5,$AB$6,$AB$7,$AB$8,$AB$9,$AB$10,$AB$11,$AB$12,$AB$13,$AB$14,$AB$15,$AB$16,$AB$17,$AB$18,$AB$19,$AB$20)</f>
        <v>83000</v>
      </c>
      <c r="AC21" s="8">
        <f>SUM($AC$2,$AC$3,$AC$4,$AC$5,$AC$6,$AC$7,$AC$8,$AC$9,$AC$10,$AC$11,$AC$12,$AC$13,$AC$14,$AC$15,$AC$16,$AC$17,$AC$18,$AC$19,$AC$20)</f>
        <v>83000</v>
      </c>
      <c r="AD21" s="14">
        <f>SUM($AD$2,$AD$3,$AD$4,$AD$5,$AD$6,$AD$7,$AD$8,$AD$9,$AD$10,$AD$11,$AD$12,$AD$13,$AD$14,$AD$15,$AD$16,$AD$17,$AD$18,$AD$19,$AD$20)</f>
        <v>83</v>
      </c>
      <c r="AE21" s="14">
        <f>SUM($AE$2,$AE$3,$AE$4,$AE$5,$AE$6,$AE$7,$AE$8,$AE$9,$AE$10,$AE$11,$AE$12,$AE$13,$AE$14,$AE$15,$AE$16,$AE$17,$AE$18,$AE$19,$AE$20)</f>
        <v>0</v>
      </c>
      <c r="AF21" s="14">
        <f>SUM($AF$2,$AF$3,$AF$4,$AF$5,$AF$6,$AF$7,$AF$8,$AF$9,$AF$10,$AF$11,$AF$12,$AF$13,$AF$14,$AF$15,$AF$16,$AF$17,$AF$18,$AF$19,$AF$20)</f>
        <v>0</v>
      </c>
      <c r="AG21" s="14">
        <f>SUM($AG$2,$AG$3,$AG$4,$AG$5,$AG$6,$AG$7,$AG$8,$AG$9,$AG$10,$AG$11,$AG$12,$AG$13,$AG$14,$AG$15,$AG$16,$AG$17,$AG$18,$AG$19,$AG$20)</f>
        <v>0</v>
      </c>
      <c r="AH21" s="8">
        <f>SUM($AH$2,$AH$3,$AH$4,$AH$5,$AH$6,$AH$7,$AH$8,$AH$9,$AH$10,$AH$11,$AH$12,$AH$13,$AH$14,$AH$15,$AH$16,$AH$17,$AH$18,$AH$19,$AH$20)</f>
        <v>0</v>
      </c>
      <c r="AI21" s="8">
        <f>SUM($AI$2,$AI$3,$AI$4,$AI$5,$AI$6,$AI$7,$AI$8,$AI$9,$AI$10,$AI$11,$AI$12,$AI$13,$AI$14,$AI$15,$AI$16,$AI$17,$AI$18,$AI$19,$AI$20)</f>
        <v>81000</v>
      </c>
      <c r="AJ21" s="8">
        <f>SUM($AJ$2,$AJ$3,$AJ$4,$AJ$5,$AJ$6,$AJ$7,$AJ$8,$AJ$9,$AJ$10,$AJ$11,$AJ$12,$AJ$13,$AJ$14,$AJ$15,$AJ$16,$AJ$17,$AJ$18,$AJ$19,$AJ$20)</f>
        <v>81000</v>
      </c>
      <c r="AK21" s="14">
        <f>SUM($AK$2,$AK$3,$AK$4,$AK$5,$AK$6,$AK$7,$AK$8,$AK$9,$AK$10,$AK$11,$AK$12,$AK$13,$AK$14,$AK$15,$AK$16,$AK$17,$AK$18,$AK$19,$AK$20)</f>
        <v>81</v>
      </c>
      <c r="AL21" s="14">
        <f>SUM($AL$2,$AL$3,$AL$4,$AL$5,$AL$6,$AL$7,$AL$8,$AL$9,$AL$10,$AL$11,$AL$12,$AL$13,$AL$14,$AL$15,$AL$16,$AL$17,$AL$18,$AL$19,$AL$20)</f>
        <v>0</v>
      </c>
      <c r="AM21" s="14">
        <f>SUM($AM$2,$AM$3,$AM$4,$AM$5,$AM$6,$AM$7,$AM$8,$AM$9,$AM$10,$AM$11,$AM$12,$AM$13,$AM$14,$AM$15,$AM$16,$AM$17,$AM$18,$AM$19,$AM$20)</f>
        <v>0</v>
      </c>
      <c r="AN21" s="14">
        <f>SUM($AN$2,$AN$3,$AN$4,$AN$5,$AN$6,$AN$7,$AN$8,$AN$9,$AN$10,$AN$11,$AN$12,$AN$13,$AN$14,$AN$15,$AN$16,$AN$17,$AN$18,$AN$19,$AN$20)</f>
        <v>0</v>
      </c>
      <c r="AO21" s="8">
        <f>SUM($AO$2,$AO$3,$AO$4,$AO$5,$AO$6,$AO$7,$AO$8,$AO$9,$AO$10,$AO$11,$AO$12,$AO$13,$AO$14,$AO$15,$AO$16,$AO$17,$AO$18,$AO$19,$AO$20)</f>
        <v>0</v>
      </c>
      <c r="AP21" s="8">
        <f>SUM($AP$2,$AP$3,$AP$4,$AP$5,$AP$6,$AP$7,$AP$8,$AP$9,$AP$10,$AP$11,$AP$12,$AP$13,$AP$14,$AP$15,$AP$16,$AP$17,$AP$18,$AP$19,$AP$20)</f>
        <v>86000</v>
      </c>
      <c r="AQ21" s="8">
        <f>SUM($AQ$2,$AQ$3,$AQ$4,$AQ$5,$AQ$6,$AQ$7,$AQ$8,$AQ$9,$AQ$10,$AQ$11,$AQ$12,$AQ$13,$AQ$14,$AQ$15,$AQ$16,$AQ$17,$AQ$18,$AQ$19,$AQ$20)</f>
        <v>86000</v>
      </c>
      <c r="AR21" s="14">
        <f>SUM($AR$2,$AR$3,$AR$4,$AR$5,$AR$6,$AR$7,$AR$8,$AR$9,$AR$10,$AR$11,$AR$12,$AR$13,$AR$14,$AR$15,$AR$16,$AR$17,$AR$18,$AR$19,$AR$20)</f>
        <v>86</v>
      </c>
      <c r="AS21" s="14">
        <f>SUM($AS$2,$AS$3,$AS$4,$AS$5,$AS$6,$AS$7,$AS$8,$AS$9,$AS$10,$AS$11,$AS$12,$AS$13,$AS$14,$AS$15,$AS$16,$AS$17,$AS$18,$AS$19,$AS$20)</f>
        <v>0</v>
      </c>
      <c r="AT21" s="14">
        <f>SUM($AT$2,$AT$3,$AT$4,$AT$5,$AT$6,$AT$7,$AT$8,$AT$9,$AT$10,$AT$11,$AT$12,$AT$13,$AT$14,$AT$15,$AT$16,$AT$17,$AT$18,$AT$19,$AT$20)</f>
        <v>0</v>
      </c>
      <c r="AU21" s="14">
        <f>SUM($AU$2,$AU$3,$AU$4,$AU$5,$AU$6,$AU$7,$AU$8,$AU$9,$AU$10,$AU$11,$AU$12,$AU$13,$AU$14,$AU$15,$AU$16,$AU$17,$AU$18,$AU$19,$AU$20)</f>
        <v>0</v>
      </c>
      <c r="AV21" s="8">
        <f>SUM($AV$2,$AV$3,$AV$4,$AV$5,$AV$6,$AV$7,$AV$8,$AV$9,$AV$10,$AV$11,$AV$12,$AV$13,$AV$14,$AV$15,$AV$16,$AV$17,$AV$18,$AV$19,$AV$20)</f>
        <v>0</v>
      </c>
      <c r="AW21" s="8">
        <f>SUM($AW$2,$AW$3,$AW$4,$AW$5,$AW$6,$AW$7,$AW$8,$AW$9,$AW$10,$AW$11,$AW$12,$AW$13,$AW$14,$AW$15,$AW$16,$AW$17,$AW$18,$AW$19,$AW$20)</f>
        <v>85000</v>
      </c>
      <c r="AX21" s="8">
        <f>SUM($AX$2,$AX$3,$AX$4,$AX$5,$AX$6,$AX$7,$AX$8,$AX$9,$AX$10,$AX$11,$AX$12,$AX$13,$AX$14,$AX$15,$AX$16,$AX$17,$AX$18,$AX$19,$AX$20)</f>
        <v>85000</v>
      </c>
      <c r="AY21" s="14">
        <f>SUM($AY$2,$AY$3,$AY$4,$AY$5,$AY$6,$AY$7,$AY$8,$AY$9,$AY$10,$AY$11,$AY$12,$AY$13,$AY$14,$AY$15,$AY$16,$AY$17,$AY$18,$AY$19,$AY$20)</f>
        <v>85</v>
      </c>
      <c r="AZ21" s="14">
        <f>SUM($AZ$2,$AZ$3,$AZ$4,$AZ$5,$AZ$6,$AZ$7,$AZ$8,$AZ$9,$AZ$10,$AZ$11,$AZ$12,$AZ$13,$AZ$14,$AZ$15,$AZ$16,$AZ$17,$AZ$18,$AZ$19,$AZ$20)</f>
        <v>818.01</v>
      </c>
      <c r="BA21" s="14">
        <f>SUM($BA$2,$BA$3,$BA$4,$BA$5,$BA$6,$BA$7,$BA$8,$BA$9,$BA$10,$BA$11,$BA$12,$BA$13,$BA$14,$BA$15,$BA$16,$BA$17,$BA$18,$BA$19,$BA$20)</f>
        <v>0</v>
      </c>
      <c r="BB21" s="14">
        <f>SUM($BB$2,$BB$3,$BB$4,$BB$5,$BB$6,$BB$7,$BB$8,$BB$9,$BB$10,$BB$11,$BB$12,$BB$13,$BB$14,$BB$15,$BB$16,$BB$17,$BB$18,$BB$19,$BB$20)</f>
        <v>0</v>
      </c>
      <c r="BC21" s="8">
        <f>SUM($BC$2,$BC$3,$BC$4,$BC$5,$BC$6,$BC$7,$BC$8,$BC$9,$BC$10,$BC$11,$BC$12,$BC$13,$BC$14,$BC$15,$BC$16,$BC$17,$BC$18,$BC$19,$BC$20)</f>
        <v>0</v>
      </c>
      <c r="BD21" s="8">
        <f>SUM($BD$2,$BD$3,$BD$4,$BD$5,$BD$6,$BD$7,$BD$8,$BD$9,$BD$10,$BD$11,$BD$12,$BD$13,$BD$14,$BD$15,$BD$16,$BD$17,$BD$18,$BD$19,$BD$20)</f>
        <v>89000</v>
      </c>
      <c r="BE21" s="8">
        <f>SUM($BE$2,$BE$3,$BE$4,$BE$5,$BE$6,$BE$7,$BE$8,$BE$9,$BE$10,$BE$11,$BE$12,$BE$13,$BE$14,$BE$15,$BE$16,$BE$17,$BE$18,$BE$19,$BE$20)</f>
        <v>89000</v>
      </c>
      <c r="BF21" s="14">
        <f>SUM($BF$2,$BF$3,$BF$4,$BF$5,$BF$6,$BF$7,$BF$8,$BF$9,$BF$10,$BF$11,$BF$12,$BF$13,$BF$14,$BF$15,$BF$16,$BF$17,$BF$18,$BF$19,$BF$20)</f>
        <v>89</v>
      </c>
      <c r="BG21" s="14">
        <f>SUM($BG$2,$BG$3,$BG$4,$BG$5,$BG$6,$BG$7,$BG$8,$BG$9,$BG$10,$BG$11,$BG$12,$BG$13,$BG$14,$BG$15,$BG$16,$BG$17,$BG$18,$BG$19,$BG$20)</f>
        <v>0</v>
      </c>
      <c r="BH21" s="14">
        <f>SUM($BH$2,$BH$3,$BH$4,$BH$5,$BH$6,$BH$7,$BH$8,$BH$9,$BH$10,$BH$11,$BH$12,$BH$13,$BH$14,$BH$15,$BH$16,$BH$17,$BH$18,$BH$19,$BH$20)</f>
        <v>0</v>
      </c>
      <c r="BI21" s="14">
        <f>SUM($BI$2,$BI$3,$BI$4,$BI$5,$BI$6,$BI$7,$BI$8,$BI$9,$BI$10,$BI$11,$BI$12,$BI$13,$BI$14,$BI$15,$BI$16,$BI$17,$BI$18,$BI$19,$BI$20)</f>
        <v>0</v>
      </c>
      <c r="BJ21" s="8">
        <f>SUM($BJ$2,$BJ$3,$BJ$4,$BJ$5,$BJ$6,$BJ$7,$BJ$8,$BJ$9,$BJ$10,$BJ$11,$BJ$12,$BJ$13,$BJ$14,$BJ$15,$BJ$16,$BJ$17,$BJ$18,$BJ$19,$BJ$20)</f>
        <v>0</v>
      </c>
      <c r="BK21" s="8">
        <f>SUM($BK$2,$BK$3,$BK$4,$BK$5,$BK$6,$BK$7,$BK$8,$BK$9,$BK$10,$BK$11,$BK$12,$BK$13,$BK$14,$BK$15,$BK$16,$BK$17,$BK$18,$BK$19,$BK$20)</f>
        <v>89000</v>
      </c>
      <c r="BL21" s="8">
        <f>SUM($BL$2,$BL$3,$BL$4,$BL$5,$BL$6,$BL$7,$BL$8,$BL$9,$BL$10,$BL$11,$BL$12,$BL$13,$BL$14,$BL$15,$BL$16,$BL$17,$BL$18,$BL$19,$BL$20)</f>
        <v>89000</v>
      </c>
      <c r="BM21" s="14">
        <f>SUM($BM$2,$BM$3,$BM$4,$BM$5,$BM$6,$BM$7,$BM$8,$BM$9,$BM$10,$BM$11,$BM$12,$BM$13,$BM$14,$BM$15,$BM$16,$BM$17,$BM$18,$BM$19,$BM$20)</f>
        <v>89</v>
      </c>
      <c r="BN21" s="14">
        <f>SUM($BN$2,$BN$3,$BN$4,$BN$5,$BN$6,$BN$7,$BN$8,$BN$9,$BN$10,$BN$11,$BN$12,$BN$13,$BN$14,$BN$15,$BN$16,$BN$17,$BN$18,$BN$19,$BN$20)</f>
        <v>0</v>
      </c>
      <c r="BO21" s="14">
        <f>SUM($BO$2,$BO$3,$BO$4,$BO$5,$BO$6,$BO$7,$BO$8,$BO$9,$BO$10,$BO$11,$BO$12,$BO$13,$BO$14,$BO$15,$BO$16,$BO$17,$BO$18,$BO$19,$BO$20)</f>
        <v>0</v>
      </c>
      <c r="BP21" s="8">
        <f>SUM($BP$2,$BP$3,$BP$4,$BP$5,$BP$6,$BP$7,$BP$8,$BP$9,$BP$10,$BP$11,$BP$12,$BP$13,$BP$14,$BP$15,$BP$16,$BP$17,$BP$18,$BP$19,$BP$20)</f>
        <v>80000</v>
      </c>
      <c r="BQ21" s="8">
        <f>SUM($BQ$2,$BQ$3,$BQ$4,$BQ$5,$BQ$6,$BQ$7,$BQ$8,$BQ$9,$BQ$10,$BQ$11,$BQ$12,$BQ$13,$BQ$14,$BQ$15,$BQ$16,$BQ$17,$BQ$18,$BQ$19,$BQ$20)</f>
        <v>80000</v>
      </c>
      <c r="BR21" s="14">
        <f>SUM($BR$2,$BR$3,$BR$4,$BR$5,$BR$6,$BR$7,$BR$8,$BR$9,$BR$10,$BR$11,$BR$12,$BR$13,$BR$14,$BR$15,$BR$16,$BR$17,$BR$18,$BR$19,$BR$20)</f>
        <v>80</v>
      </c>
      <c r="BS21" s="14">
        <f>SUM($BS$2,$BS$3,$BS$4,$BS$5,$BS$6,$BS$7,$BS$8,$BS$9,$BS$10,$BS$11,$BS$12,$BS$13,$BS$14,$BS$15,$BS$16,$BS$17,$BS$18,$BS$19,$BS$20)</f>
        <v>0</v>
      </c>
      <c r="BT21" s="14">
        <f>SUM($BT$2,$BT$3,$BT$4,$BT$5,$BT$6,$BT$7,$BT$8,$BT$9,$BT$10,$BT$11,$BT$12,$BT$13,$BT$14,$BT$15,$BT$16,$BT$17,$BT$18,$BT$19,$BT$20)</f>
        <v>0</v>
      </c>
      <c r="BU21" s="8">
        <f>SUM($BU$2,$BU$3,$BU$4,$BU$5,$BU$6,$BU$7,$BU$8,$BU$9,$BU$10,$BU$11,$BU$12,$BU$13,$BU$14,$BU$15,$BU$16,$BU$17,$BU$18,$BU$19,$BU$20)</f>
        <v>92000</v>
      </c>
      <c r="BV21" s="8">
        <f>SUM($BV$2,$BV$3,$BV$4,$BV$5,$BV$6,$BV$7,$BV$8,$BV$9,$BV$10,$BV$11,$BV$12,$BV$13,$BV$14,$BV$15,$BV$16,$BV$17,$BV$18,$BV$19,$BV$20)</f>
        <v>92000</v>
      </c>
      <c r="BW21" s="14">
        <f>SUM($BW$2,$BW$3,$BW$4,$BW$5,$BW$6,$BW$7,$BW$8,$BW$9,$BW$10,$BW$11,$BW$12,$BW$13,$BW$14,$BW$15,$BW$16,$BW$17,$BW$18,$BW$19,$BW$20)</f>
        <v>92</v>
      </c>
      <c r="BX21" s="14">
        <f>SUM($BX$2,$BX$3,$BX$4,$BX$5,$BX$6,$BX$7,$BX$8,$BX$9,$BX$10,$BX$11,$BX$12,$BX$13,$BX$14,$BX$15,$BX$16,$BX$17,$BX$18,$BX$19,$BX$20)</f>
        <v>0</v>
      </c>
      <c r="BY21" s="14">
        <f>SUM($BY$2,$BY$3,$BY$4,$BY$5,$BY$6,$BY$7,$BY$8,$BY$9,$BY$10,$BY$11,$BY$12,$BY$13,$BY$14,$BY$15,$BY$16,$BY$17,$BY$18,$BY$19,$BY$20)</f>
        <v>0</v>
      </c>
      <c r="BZ21" s="8">
        <f>SUM($BZ$2,$BZ$3,$BZ$4,$BZ$5,$BZ$6,$BZ$7,$BZ$8,$BZ$9,$BZ$10,$BZ$11,$BZ$12,$BZ$13,$BZ$14,$BZ$15,$BZ$16,$BZ$17,$BZ$18,$BZ$19,$BZ$20)</f>
        <v>92000</v>
      </c>
      <c r="CA21" s="8">
        <f>SUM($CA$2,$CA$3,$CA$4,$CA$5,$CA$6,$CA$7,$CA$8,$CA$9,$CA$10,$CA$11,$CA$12,$CA$13,$CA$14,$CA$15,$CA$16,$CA$17,$CA$18,$CA$19,$CA$20)</f>
        <v>92000</v>
      </c>
      <c r="CB21" s="14">
        <f>SUM($CB$2,$CB$3,$CB$4,$CB$5,$CB$6,$CB$7,$CB$8,$CB$9,$CB$10,$CB$11,$CB$12,$CB$13,$CB$14,$CB$15,$CB$16,$CB$17,$CB$18,$CB$19,$CB$20)</f>
        <v>92</v>
      </c>
      <c r="CC21" s="14">
        <f>SUM($CC$2,$CC$3,$CC$4,$CC$5,$CC$6,$CC$7,$CC$8,$CC$9,$CC$10,$CC$11,$CC$12,$CC$13,$CC$14,$CC$15,$CC$16,$CC$17,$CC$18,$CC$19,$CC$20)</f>
        <v>0</v>
      </c>
      <c r="CD21" s="14">
        <f>SUM($CD$2,$CD$3,$CD$4,$CD$5,$CD$6,$CD$7,$CD$8,$CD$9,$CD$10,$CD$11,$CD$12,$CD$13,$CD$14,$CD$15,$CD$16,$CD$17,$CD$18,$CD$19,$CD$20)</f>
        <v>0</v>
      </c>
      <c r="CE21" s="8">
        <f>SUM($CE$2,$CE$3,$CE$4,$CE$5,$CE$6,$CE$7,$CE$8,$CE$9,$CE$10,$CE$11,$CE$12,$CE$13,$CE$14,$CE$15,$CE$16,$CE$17,$CE$18,$CE$19,$CE$20)</f>
        <v>92000</v>
      </c>
      <c r="CF21" s="8">
        <f>SUM($CF$2,$CF$3,$CF$4,$CF$5,$CF$6,$CF$7,$CF$8,$CF$9,$CF$10,$CF$11,$CF$12,$CF$13,$CF$14,$CF$15,$CF$16,$CF$17,$CF$18,$CF$19,$CF$20)</f>
        <v>92000</v>
      </c>
      <c r="CG21" s="14">
        <f>SUM($CG$2,$CG$3,$CG$4,$CG$5,$CG$6,$CG$7,$CG$8,$CG$9,$CG$10,$CG$11,$CG$12,$CG$13,$CG$14,$CG$15,$CG$16,$CG$17,$CG$18,$CG$19,$CG$20)</f>
        <v>92</v>
      </c>
      <c r="CH21" s="14">
        <f>SUM($CH$2,$CH$3,$CH$4,$CH$5,$CH$6,$CH$7,$CH$8,$CH$9,$CH$10,$CH$11,$CH$12,$CH$13,$CH$14,$CH$15,$CH$16,$CH$17,$CH$18,$CH$19,$CH$20)</f>
        <v>0</v>
      </c>
      <c r="CI21" s="14">
        <f>SUM($CI$2,$CI$3,$CI$4,$CI$5,$CI$6,$CI$7,$CI$8,$CI$9,$CI$10,$CI$11,$CI$12,$CI$13,$CI$14,$CI$15,$CI$16,$CI$17,$CI$18,$CI$19,$CI$20)</f>
        <v>0</v>
      </c>
      <c r="CJ21" s="8">
        <f>SUM($CJ$2,$CJ$3,$CJ$4,$CJ$5,$CJ$6,$CJ$7,$CJ$8,$CJ$9,$CJ$10,$CJ$11,$CJ$12,$CJ$13,$CJ$14,$CJ$15,$CJ$16,$CJ$17,$CJ$18,$CJ$19,$CJ$20)</f>
        <v>92000</v>
      </c>
      <c r="CK21" s="8">
        <f>SUM($CK$2,$CK$3,$CK$4,$CK$5,$CK$6,$CK$7,$CK$8,$CK$9,$CK$10,$CK$11,$CK$12,$CK$13,$CK$14,$CK$15,$CK$16,$CK$17,$CK$18,$CK$19,$CK$20)</f>
        <v>92000</v>
      </c>
      <c r="CL21" s="14">
        <f>SUM($CL$2,$CL$3,$CL$4,$CL$5,$CL$6,$CL$7,$CL$8,$CL$9,$CL$10,$CL$11,$CL$12,$CL$13,$CL$14,$CL$15,$CL$16,$CL$17,$CL$18,$CL$19,$CL$20)</f>
        <v>92</v>
      </c>
      <c r="CM21" s="14">
        <f>SUM($CM$2,$CM$3,$CM$4,$CM$5,$CM$6,$CM$7,$CM$8,$CM$9,$CM$10,$CM$11,$CM$12,$CM$13,$CM$14,$CM$15,$CM$16,$CM$17,$CM$18,$CM$19,$CM$20)</f>
        <v>0</v>
      </c>
      <c r="CN21" s="14">
        <f>SUM($CN$2,$CN$3,$CN$4,$CN$5,$CN$6,$CN$7,$CN$8,$CN$9,$CN$10,$CN$11,$CN$12,$CN$13,$CN$14,$CN$15,$CN$16,$CN$17,$CN$18,$CN$19,$CN$20)</f>
        <v>0</v>
      </c>
      <c r="CO21" s="14">
        <f>SUM($CO$2,$CO$3,$CO$4,$CO$5,$CO$6,$CO$7,$CO$8,$CO$9,$CO$10,$CO$11,$CO$12,$CO$13,$CO$14,$CO$15,$CO$16,$CO$17,$CO$18,$CO$19,$CO$20)</f>
        <v>0</v>
      </c>
      <c r="CP21" s="9">
        <f>SUM($CP$2,$CP$3,$CP$4,$CP$5,$CP$6,$CP$7,$CP$8,$CP$9,$CP$10,$CP$11,$CP$12,$CP$13,$CP$14,$CP$15,$CP$16,$CP$17,$CP$18,$CP$19,$CP$20)</f>
        <v>1039000</v>
      </c>
      <c r="CQ21" s="9">
        <f>SUM($CQ$2,$CQ$3,$CQ$4,$CQ$5,$CQ$6,$CQ$7,$CQ$8,$CQ$9,$CQ$10,$CQ$11,$CQ$12,$CQ$13,$CQ$14,$CQ$15,$CQ$16,$CQ$17,$CQ$18,$CQ$19,$CQ$20)</f>
        <v>1039000</v>
      </c>
      <c r="CR21" s="14">
        <f>SUM($CR$2,$CR$3,$CR$4,$CR$5,$CR$6,$CR$7,$CR$8,$CR$9,$CR$10,$CR$11,$CR$12,$CR$13,$CR$14,$CR$15,$CR$16,$CR$17,$CR$18,$CR$19,$CR$20)</f>
        <v>85.999999999999986</v>
      </c>
      <c r="CS21" s="14">
        <f>SUM($CS$2,$CS$3,$CS$4,$CS$5,$CS$6,$CS$7,$CS$8,$CS$9,$CS$10,$CS$11,$CS$12,$CS$13,$CS$14,$CS$15,$CS$16,$CS$17,$CS$18,$CS$19,$CS$20)</f>
        <v>0</v>
      </c>
      <c r="CT21" s="14">
        <f>SUM($CT$2,$CT$3,$CT$4,$CT$5,$CT$6,$CT$7,$CT$8,$CT$9,$CT$10,$CT$11,$CT$12,$CT$13,$CT$14,$CT$15,$CT$16,$CT$17,$CT$18,$CT$19,$CT$20)</f>
        <v>0</v>
      </c>
      <c r="CU21" s="14">
        <f>SUM($CU$2,$CU$3,$CU$4,$CU$5,$CU$6,$CU$7,$CU$8,$CU$9,$CU$10,$CU$11,$CU$12,$CU$13,$CU$14,$CU$15,$CU$16,$CU$17,$CU$18,$CU$19,$CU$20)</f>
        <v>0</v>
      </c>
      <c r="CV21" s="8">
        <f>SUM($CV$2,$CV$3,$CV$4,$CV$5,$CV$6,$CV$7,$CV$8,$CV$9,$CV$10,$CV$11,$CV$12,$CV$13,$CV$14,$CV$15,$CV$16,$CV$17,$CV$18,$CV$19,$CV$20)</f>
        <v>-1039000</v>
      </c>
      <c r="CW21" s="8">
        <f>SUM($CW$2,$CW$3,$CW$4,$CW$5,$CW$6,$CW$7,$CW$8,$CW$9,$CW$10,$CW$11,$CW$12,$CW$13,$CW$14,$CW$15,$CW$16,$CW$17,$CW$18,$CW$19,$CW$20)</f>
        <v>-1039000</v>
      </c>
      <c r="CX21" s="14">
        <f>SUM($CX$2,$CX$3,$CX$4,$CX$5,$CX$6,$CX$7,$CX$8,$CX$9,$CX$10,$CX$11,$CX$12,$CX$13,$CX$14,$CX$15,$CX$16,$CX$17,$CX$18,$CX$19,$CX$20)</f>
        <v>0</v>
      </c>
      <c r="CY21" s="14">
        <f>SUM($CY$2,$CY$3,$CY$4,$CY$5,$CY$6,$CY$7,$CY$8,$CY$9,$CY$10,$CY$11,$CY$12,$CY$13,$CY$14,$CY$15,$CY$16,$CY$17,$CY$18,$CY$19,$CY$20)</f>
        <v>0</v>
      </c>
      <c r="CZ21" s="14">
        <f>SUM($CZ$2,$CZ$3,$CZ$4,$CZ$5,$CZ$6,$CZ$7,$CZ$8,$CZ$9,$CZ$10,$CZ$11,$CZ$12,$CZ$13,$CZ$14,$CZ$15,$CZ$16,$CZ$17,$CZ$18,$CZ$19,$CZ$20)</f>
        <v>0</v>
      </c>
      <c r="DA21" s="14">
        <f>SUM($DA$2,$DA$3,$DA$4,$DA$5,$DA$6,$DA$7,$DA$8,$DA$9,$DA$10,$DA$11,$DA$12,$DA$13,$DA$14,$DA$15,$DA$16,$DA$17,$DA$18,$DA$19,$DA$20)</f>
        <v>0</v>
      </c>
      <c r="DB21" s="8">
        <f>SUM($DB$2,$DB$3,$DB$4,$DB$5,$DB$6,$DB$7,$DB$8,$DB$9,$DB$10,$DB$11,$DB$12,$DB$13,$DB$14,$DB$15,$DB$16,$DB$17,$DB$18,$DB$19,$DB$20)</f>
        <v>1039000</v>
      </c>
      <c r="DC21" s="8">
        <f>SUM($DC$2,$DC$3,$DC$4,$DC$5,$DC$6,$DC$7,$DC$8,$DC$9,$DC$10,$DC$11,$DC$12,$DC$13,$DC$14,$DC$15,$DC$16,$DC$17,$DC$18,$DC$19,$DC$20)</f>
        <v>1039000</v>
      </c>
    </row>
    <row r="22" spans="1:107" x14ac:dyDescent="0.3">
      <c r="A22" s="4"/>
      <c r="B22" s="4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7"/>
      <c r="R22" s="7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9"/>
      <c r="CQ22" s="9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</row>
    <row r="23" spans="1:107" x14ac:dyDescent="0.3">
      <c r="A23" s="10" t="s">
        <v>126</v>
      </c>
      <c r="B23" s="10"/>
      <c r="C23" s="11" t="s">
        <v>197</v>
      </c>
      <c r="D23" s="11" t="s">
        <v>106</v>
      </c>
      <c r="E23" s="11" t="s">
        <v>164</v>
      </c>
      <c r="F23" s="11" t="s">
        <v>165</v>
      </c>
      <c r="G23" s="11"/>
      <c r="H23" s="11" t="s">
        <v>166</v>
      </c>
      <c r="I23" s="11">
        <v>5842263202</v>
      </c>
      <c r="J23" s="11" t="s">
        <v>109</v>
      </c>
      <c r="K23" s="11" t="s">
        <v>166</v>
      </c>
      <c r="L23" s="11" t="s">
        <v>166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v>0</v>
      </c>
      <c r="V23" s="8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v>5000</v>
      </c>
      <c r="AC23" s="8">
        <v>5000</v>
      </c>
      <c r="AD23" s="14">
        <v>5</v>
      </c>
      <c r="AE23" s="14">
        <v>0</v>
      </c>
      <c r="AF23" s="14">
        <v>0</v>
      </c>
      <c r="AG23" s="14">
        <v>0</v>
      </c>
      <c r="AH23" s="8">
        <v>0</v>
      </c>
      <c r="AI23" s="8">
        <v>5000</v>
      </c>
      <c r="AJ23" s="8">
        <v>5000</v>
      </c>
      <c r="AK23" s="14">
        <v>5</v>
      </c>
      <c r="AL23" s="14">
        <v>0</v>
      </c>
      <c r="AM23" s="14">
        <v>0</v>
      </c>
      <c r="AN23" s="14">
        <v>0</v>
      </c>
      <c r="AO23" s="8">
        <v>0</v>
      </c>
      <c r="AP23" s="8">
        <v>5000</v>
      </c>
      <c r="AQ23" s="8">
        <v>5000</v>
      </c>
      <c r="AR23" s="14">
        <v>5</v>
      </c>
      <c r="AS23" s="14">
        <v>0</v>
      </c>
      <c r="AT23" s="14">
        <v>0</v>
      </c>
      <c r="AU23" s="14">
        <v>0</v>
      </c>
      <c r="AV23" s="8">
        <v>0</v>
      </c>
      <c r="AW23" s="8">
        <v>5000</v>
      </c>
      <c r="AX23" s="8">
        <v>5000</v>
      </c>
      <c r="AY23" s="14">
        <v>5</v>
      </c>
      <c r="AZ23" s="14">
        <v>0</v>
      </c>
      <c r="BA23" s="14">
        <v>0</v>
      </c>
      <c r="BB23" s="14">
        <v>0</v>
      </c>
      <c r="BC23" s="8">
        <v>0</v>
      </c>
      <c r="BD23" s="8">
        <v>5000</v>
      </c>
      <c r="BE23" s="8">
        <v>5000</v>
      </c>
      <c r="BF23" s="14">
        <v>5</v>
      </c>
      <c r="BG23" s="14">
        <v>0</v>
      </c>
      <c r="BH23" s="14">
        <v>0</v>
      </c>
      <c r="BI23" s="14">
        <v>0</v>
      </c>
      <c r="BJ23" s="8">
        <v>0</v>
      </c>
      <c r="BK23" s="8">
        <v>5000</v>
      </c>
      <c r="BL23" s="8">
        <v>5000</v>
      </c>
      <c r="BM23" s="14">
        <v>5</v>
      </c>
      <c r="BN23" s="14">
        <v>0</v>
      </c>
      <c r="BO23" s="14">
        <v>0</v>
      </c>
      <c r="BP23" s="8">
        <v>5000</v>
      </c>
      <c r="BQ23" s="8">
        <v>5000</v>
      </c>
      <c r="BR23" s="14">
        <v>5</v>
      </c>
      <c r="BS23" s="14">
        <v>0</v>
      </c>
      <c r="BT23" s="14">
        <v>0</v>
      </c>
      <c r="BU23" s="8">
        <v>5000</v>
      </c>
      <c r="BV23" s="8">
        <v>5000</v>
      </c>
      <c r="BW23" s="14">
        <v>5</v>
      </c>
      <c r="BX23" s="14">
        <v>0</v>
      </c>
      <c r="BY23" s="14">
        <v>0</v>
      </c>
      <c r="BZ23" s="8">
        <v>5000</v>
      </c>
      <c r="CA23" s="8">
        <v>5000</v>
      </c>
      <c r="CB23" s="14">
        <v>5</v>
      </c>
      <c r="CC23" s="14">
        <v>0</v>
      </c>
      <c r="CD23" s="14">
        <v>0</v>
      </c>
      <c r="CE23" s="8">
        <v>5000</v>
      </c>
      <c r="CF23" s="8">
        <v>5000</v>
      </c>
      <c r="CG23" s="14">
        <v>5</v>
      </c>
      <c r="CH23" s="14">
        <v>0</v>
      </c>
      <c r="CI23" s="14">
        <v>0</v>
      </c>
      <c r="CJ23" s="8">
        <v>5000</v>
      </c>
      <c r="CK23" s="8">
        <v>5000</v>
      </c>
      <c r="CL23" s="14">
        <v>5</v>
      </c>
      <c r="CM23" s="14">
        <v>0</v>
      </c>
      <c r="CN23" s="14">
        <v>0</v>
      </c>
      <c r="CO23" s="14">
        <v>0</v>
      </c>
      <c r="CP23" s="9">
        <v>55000</v>
      </c>
      <c r="CQ23" s="9">
        <v>55000</v>
      </c>
      <c r="CR23" s="14">
        <v>4.5999999999999996</v>
      </c>
      <c r="CS23" s="14">
        <v>0</v>
      </c>
      <c r="CT23" s="14">
        <v>0</v>
      </c>
      <c r="CU23" s="14">
        <v>0</v>
      </c>
      <c r="CV23" s="8">
        <v>-55000</v>
      </c>
      <c r="CW23" s="8">
        <v>-55000</v>
      </c>
      <c r="CX23" s="14">
        <v>0</v>
      </c>
      <c r="CY23" s="14">
        <v>0</v>
      </c>
      <c r="CZ23" s="14">
        <v>0</v>
      </c>
      <c r="DA23" s="14">
        <v>0</v>
      </c>
      <c r="DB23" s="8">
        <v>55000</v>
      </c>
      <c r="DC23" s="8">
        <v>55000</v>
      </c>
    </row>
    <row r="24" spans="1:107" x14ac:dyDescent="0.3">
      <c r="A24" s="4" t="s">
        <v>126</v>
      </c>
      <c r="B24" s="4"/>
      <c r="C24" s="5" t="s">
        <v>197</v>
      </c>
      <c r="D24" s="5" t="s">
        <v>106</v>
      </c>
      <c r="E24" s="5" t="s">
        <v>107</v>
      </c>
      <c r="F24" s="5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 x14ac:dyDescent="0.3">
      <c r="A25" s="10" t="s">
        <v>126</v>
      </c>
      <c r="B25" s="10"/>
      <c r="C25" s="11" t="s">
        <v>197</v>
      </c>
      <c r="D25" s="11" t="s">
        <v>106</v>
      </c>
      <c r="E25" s="11" t="s">
        <v>164</v>
      </c>
      <c r="F25" s="11" t="s">
        <v>165</v>
      </c>
      <c r="G25" s="11"/>
      <c r="H25" s="11" t="s">
        <v>166</v>
      </c>
      <c r="I25" s="11">
        <v>5842263202</v>
      </c>
      <c r="J25" s="11" t="s">
        <v>109</v>
      </c>
      <c r="K25" s="11" t="s">
        <v>166</v>
      </c>
      <c r="L25" s="11" t="s">
        <v>166</v>
      </c>
      <c r="M25" s="11" t="s">
        <v>163</v>
      </c>
      <c r="N25" s="11" t="s">
        <v>128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5000</v>
      </c>
      <c r="AC25" s="8">
        <v>5000</v>
      </c>
      <c r="AD25" s="14">
        <v>5</v>
      </c>
      <c r="AE25" s="14">
        <v>0</v>
      </c>
      <c r="AF25" s="14">
        <v>0</v>
      </c>
      <c r="AG25" s="14">
        <v>0</v>
      </c>
      <c r="AH25" s="8">
        <v>0</v>
      </c>
      <c r="AI25" s="8">
        <v>5000</v>
      </c>
      <c r="AJ25" s="8">
        <v>5000</v>
      </c>
      <c r="AK25" s="14">
        <v>5</v>
      </c>
      <c r="AL25" s="14">
        <v>0</v>
      </c>
      <c r="AM25" s="14">
        <v>0</v>
      </c>
      <c r="AN25" s="14">
        <v>0</v>
      </c>
      <c r="AO25" s="8">
        <v>0</v>
      </c>
      <c r="AP25" s="8">
        <v>5000</v>
      </c>
      <c r="AQ25" s="8">
        <v>5000</v>
      </c>
      <c r="AR25" s="14">
        <v>5</v>
      </c>
      <c r="AS25" s="14">
        <v>0</v>
      </c>
      <c r="AT25" s="14">
        <v>0</v>
      </c>
      <c r="AU25" s="14">
        <v>0</v>
      </c>
      <c r="AV25" s="8">
        <v>0</v>
      </c>
      <c r="AW25" s="8">
        <v>5000</v>
      </c>
      <c r="AX25" s="8">
        <v>5000</v>
      </c>
      <c r="AY25" s="14">
        <v>5</v>
      </c>
      <c r="AZ25" s="14">
        <v>0</v>
      </c>
      <c r="BA25" s="14">
        <v>0</v>
      </c>
      <c r="BB25" s="14">
        <v>0</v>
      </c>
      <c r="BC25" s="8">
        <v>0</v>
      </c>
      <c r="BD25" s="8">
        <v>5000</v>
      </c>
      <c r="BE25" s="8">
        <v>5000</v>
      </c>
      <c r="BF25" s="14">
        <v>5</v>
      </c>
      <c r="BG25" s="14">
        <v>0</v>
      </c>
      <c r="BH25" s="14">
        <v>0</v>
      </c>
      <c r="BI25" s="14">
        <v>0</v>
      </c>
      <c r="BJ25" s="8">
        <v>0</v>
      </c>
      <c r="BK25" s="8">
        <v>5000</v>
      </c>
      <c r="BL25" s="8">
        <v>5000</v>
      </c>
      <c r="BM25" s="14">
        <v>5</v>
      </c>
      <c r="BN25" s="14">
        <v>0</v>
      </c>
      <c r="BO25" s="14">
        <v>0</v>
      </c>
      <c r="BP25" s="8">
        <v>5000</v>
      </c>
      <c r="BQ25" s="8">
        <v>5000</v>
      </c>
      <c r="BR25" s="14">
        <v>5</v>
      </c>
      <c r="BS25" s="14">
        <v>0</v>
      </c>
      <c r="BT25" s="14">
        <v>0</v>
      </c>
      <c r="BU25" s="8">
        <v>5000</v>
      </c>
      <c r="BV25" s="8">
        <v>5000</v>
      </c>
      <c r="BW25" s="14">
        <v>5</v>
      </c>
      <c r="BX25" s="14">
        <v>0</v>
      </c>
      <c r="BY25" s="14">
        <v>0</v>
      </c>
      <c r="BZ25" s="8">
        <v>5000</v>
      </c>
      <c r="CA25" s="8">
        <v>5000</v>
      </c>
      <c r="CB25" s="14">
        <v>5</v>
      </c>
      <c r="CC25" s="14">
        <v>0</v>
      </c>
      <c r="CD25" s="14">
        <v>0</v>
      </c>
      <c r="CE25" s="8">
        <v>5000</v>
      </c>
      <c r="CF25" s="8">
        <v>5000</v>
      </c>
      <c r="CG25" s="14">
        <v>5</v>
      </c>
      <c r="CH25" s="14">
        <v>0</v>
      </c>
      <c r="CI25" s="14">
        <v>0</v>
      </c>
      <c r="CJ25" s="8">
        <v>5000</v>
      </c>
      <c r="CK25" s="8">
        <v>5000</v>
      </c>
      <c r="CL25" s="14">
        <v>5</v>
      </c>
      <c r="CM25" s="14">
        <v>0</v>
      </c>
      <c r="CN25" s="14">
        <v>0</v>
      </c>
      <c r="CO25" s="14">
        <v>0</v>
      </c>
      <c r="CP25" s="9">
        <v>55000</v>
      </c>
      <c r="CQ25" s="9">
        <v>55000</v>
      </c>
      <c r="CR25" s="14">
        <v>4.5999999999999996</v>
      </c>
      <c r="CS25" s="14">
        <v>0</v>
      </c>
      <c r="CT25" s="14">
        <v>0</v>
      </c>
      <c r="CU25" s="14">
        <v>0</v>
      </c>
      <c r="CV25" s="8">
        <v>-55000</v>
      </c>
      <c r="CW25" s="8">
        <v>-55000</v>
      </c>
      <c r="CX25" s="14">
        <v>0</v>
      </c>
      <c r="CY25" s="14">
        <v>0</v>
      </c>
      <c r="CZ25" s="14">
        <v>0</v>
      </c>
      <c r="DA25" s="14">
        <v>0</v>
      </c>
      <c r="DB25" s="8">
        <v>55000</v>
      </c>
      <c r="DC25" s="8">
        <v>55000</v>
      </c>
    </row>
    <row r="26" spans="1:107" x14ac:dyDescent="0.3">
      <c r="A26" s="4" t="s">
        <v>126</v>
      </c>
      <c r="B26" s="4"/>
      <c r="C26" s="5" t="s">
        <v>197</v>
      </c>
      <c r="D26" s="5" t="s">
        <v>106</v>
      </c>
      <c r="E26" s="5" t="s">
        <v>107</v>
      </c>
      <c r="F26" s="5" t="s">
        <v>169</v>
      </c>
      <c r="G26" s="5"/>
      <c r="H26" s="5" t="s">
        <v>170</v>
      </c>
      <c r="I26" s="5">
        <v>5841813202</v>
      </c>
      <c r="J26" s="5" t="s">
        <v>109</v>
      </c>
      <c r="K26" s="5" t="s">
        <v>170</v>
      </c>
      <c r="L26" s="5" t="s">
        <v>170</v>
      </c>
      <c r="M26" s="5" t="s">
        <v>163</v>
      </c>
      <c r="N26" s="5" t="s">
        <v>112</v>
      </c>
      <c r="O26" s="6" t="s">
        <v>113</v>
      </c>
      <c r="P26" s="6"/>
      <c r="Q26" s="7"/>
      <c r="R26" s="7"/>
      <c r="S26" s="8">
        <v>0</v>
      </c>
      <c r="T26" s="8">
        <v>0</v>
      </c>
      <c r="U26" s="8">
        <v>0</v>
      </c>
      <c r="V26" s="8">
        <v>0</v>
      </c>
      <c r="W26" s="8">
        <v>0</v>
      </c>
      <c r="X26" s="8">
        <v>0</v>
      </c>
      <c r="Y26" s="8">
        <v>0</v>
      </c>
      <c r="Z26" s="8">
        <v>0</v>
      </c>
      <c r="AA26" s="8">
        <v>0</v>
      </c>
      <c r="AB26" s="8">
        <v>0</v>
      </c>
      <c r="AC26" s="8">
        <v>0</v>
      </c>
      <c r="AD26" s="8">
        <v>0</v>
      </c>
      <c r="AE26" s="8">
        <v>0</v>
      </c>
      <c r="AF26" s="8">
        <v>0</v>
      </c>
      <c r="AG26" s="8">
        <v>0</v>
      </c>
      <c r="AH26" s="8">
        <v>0</v>
      </c>
      <c r="AI26" s="8">
        <v>0</v>
      </c>
      <c r="AJ26" s="8">
        <v>0</v>
      </c>
      <c r="AK26" s="8">
        <v>0</v>
      </c>
      <c r="AL26" s="8">
        <v>0</v>
      </c>
      <c r="AM26" s="8">
        <v>0</v>
      </c>
      <c r="AN26" s="8">
        <v>0</v>
      </c>
      <c r="AO26" s="8">
        <v>0</v>
      </c>
      <c r="AP26" s="8">
        <v>0</v>
      </c>
      <c r="AQ26" s="8">
        <v>0</v>
      </c>
      <c r="AR26" s="8">
        <v>0</v>
      </c>
      <c r="AS26" s="8">
        <v>0</v>
      </c>
      <c r="AT26" s="8">
        <v>0</v>
      </c>
      <c r="AU26" s="8">
        <v>0</v>
      </c>
      <c r="AV26" s="8">
        <v>0</v>
      </c>
      <c r="AW26" s="8">
        <v>0</v>
      </c>
      <c r="AX26" s="8">
        <v>0</v>
      </c>
      <c r="AY26" s="8">
        <v>0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  <c r="BE26" s="8">
        <v>0</v>
      </c>
      <c r="BF26" s="8">
        <v>0</v>
      </c>
      <c r="BG26" s="8">
        <v>0</v>
      </c>
      <c r="BH26" s="8">
        <v>0</v>
      </c>
      <c r="BI26" s="8">
        <v>0</v>
      </c>
      <c r="BJ26" s="8">
        <v>0</v>
      </c>
      <c r="BK26" s="8">
        <v>0</v>
      </c>
      <c r="BL26" s="8">
        <v>0</v>
      </c>
      <c r="BM26" s="8">
        <v>0</v>
      </c>
      <c r="BN26" s="8">
        <v>0</v>
      </c>
      <c r="BO26" s="8">
        <v>0</v>
      </c>
      <c r="BP26" s="8">
        <v>4000</v>
      </c>
      <c r="BQ26" s="8">
        <v>4000</v>
      </c>
      <c r="BR26" s="8">
        <v>4</v>
      </c>
      <c r="BS26" s="8">
        <v>0</v>
      </c>
      <c r="BT26" s="8">
        <v>0</v>
      </c>
      <c r="BU26" s="8">
        <v>4000</v>
      </c>
      <c r="BV26" s="8">
        <v>4000</v>
      </c>
      <c r="BW26" s="8">
        <v>4</v>
      </c>
      <c r="BX26" s="8">
        <v>0</v>
      </c>
      <c r="BY26" s="8">
        <v>0</v>
      </c>
      <c r="BZ26" s="8">
        <v>4000</v>
      </c>
      <c r="CA26" s="8">
        <v>4000</v>
      </c>
      <c r="CB26" s="8">
        <v>4</v>
      </c>
      <c r="CC26" s="8">
        <v>0</v>
      </c>
      <c r="CD26" s="8">
        <v>0</v>
      </c>
      <c r="CE26" s="8">
        <v>4000</v>
      </c>
      <c r="CF26" s="8">
        <v>4000</v>
      </c>
      <c r="CG26" s="8">
        <v>4</v>
      </c>
      <c r="CH26" s="8">
        <v>0</v>
      </c>
      <c r="CI26" s="8">
        <v>0</v>
      </c>
      <c r="CJ26" s="8">
        <v>4000</v>
      </c>
      <c r="CK26" s="8">
        <v>4000</v>
      </c>
      <c r="CL26" s="8">
        <v>4</v>
      </c>
      <c r="CM26" s="8">
        <v>0</v>
      </c>
      <c r="CN26" s="8">
        <v>0</v>
      </c>
      <c r="CO26" s="8">
        <v>0</v>
      </c>
      <c r="CP26" s="9">
        <v>20000</v>
      </c>
      <c r="CQ26" s="9">
        <v>20000</v>
      </c>
      <c r="CR26" s="8">
        <v>2</v>
      </c>
      <c r="CS26" s="8">
        <v>0</v>
      </c>
      <c r="CT26" s="8">
        <v>0</v>
      </c>
      <c r="CU26" s="8">
        <v>0</v>
      </c>
      <c r="CV26" s="8">
        <v>-20000</v>
      </c>
      <c r="CW26" s="8">
        <v>-20000</v>
      </c>
      <c r="CX26" s="8">
        <v>0</v>
      </c>
      <c r="CY26" s="8">
        <v>0</v>
      </c>
      <c r="CZ26" s="8">
        <v>0</v>
      </c>
      <c r="DA26" s="8">
        <v>0</v>
      </c>
      <c r="DB26" s="8">
        <v>20000</v>
      </c>
      <c r="DC26" s="8">
        <v>20000</v>
      </c>
    </row>
    <row r="27" spans="1:107" x14ac:dyDescent="0.3">
      <c r="A27" s="10"/>
      <c r="B27" s="10"/>
      <c r="C27" s="11"/>
      <c r="D27" s="11" t="s">
        <v>195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SUM($S$23:$S$26)</f>
        <v>0</v>
      </c>
      <c r="T27" s="14">
        <f>SUM($T$23:$T$26)</f>
        <v>0</v>
      </c>
      <c r="U27" s="8">
        <f>SUM($U$23:$U$26)</f>
        <v>0</v>
      </c>
      <c r="V27" s="8">
        <f>SUM($V$23:$V$26)</f>
        <v>0</v>
      </c>
      <c r="W27" s="14">
        <f>SUM($W$23:$W$26)</f>
        <v>0</v>
      </c>
      <c r="X27" s="14">
        <f>SUM($X$23:$X$26)</f>
        <v>0</v>
      </c>
      <c r="Y27" s="14">
        <f>SUM($Y$23:$Y$26)</f>
        <v>0</v>
      </c>
      <c r="Z27" s="14">
        <f>SUM($Z$23:$Z$26)</f>
        <v>0</v>
      </c>
      <c r="AA27" s="14">
        <f>SUM($AA$23:$AA$26)</f>
        <v>0</v>
      </c>
      <c r="AB27" s="8">
        <f>SUM($AB$23:$AB$26)</f>
        <v>10000</v>
      </c>
      <c r="AC27" s="8">
        <f>SUM($AC$23:$AC$26)</f>
        <v>10000</v>
      </c>
      <c r="AD27" s="14">
        <f>SUM($AD$23:$AD$26)</f>
        <v>10</v>
      </c>
      <c r="AE27" s="14">
        <f>SUM($AE$23:$AE$26)</f>
        <v>0</v>
      </c>
      <c r="AF27" s="14">
        <f>SUM($AF$23:$AF$26)</f>
        <v>0</v>
      </c>
      <c r="AG27" s="14">
        <f>SUM($AG$23:$AG$26)</f>
        <v>0</v>
      </c>
      <c r="AH27" s="8">
        <f>SUM($AH$23:$AH$26)</f>
        <v>0</v>
      </c>
      <c r="AI27" s="8">
        <f>SUM($AI$23:$AI$26)</f>
        <v>10000</v>
      </c>
      <c r="AJ27" s="8">
        <f>SUM($AJ$23:$AJ$26)</f>
        <v>10000</v>
      </c>
      <c r="AK27" s="14">
        <f>SUM($AK$23:$AK$26)</f>
        <v>10</v>
      </c>
      <c r="AL27" s="14">
        <f>SUM($AL$23:$AL$26)</f>
        <v>0</v>
      </c>
      <c r="AM27" s="14">
        <f>SUM($AM$23:$AM$26)</f>
        <v>0</v>
      </c>
      <c r="AN27" s="14">
        <f>SUM($AN$23:$AN$26)</f>
        <v>0</v>
      </c>
      <c r="AO27" s="8">
        <f>SUM($AO$23:$AO$26)</f>
        <v>0</v>
      </c>
      <c r="AP27" s="8">
        <f>SUM($AP$23:$AP$26)</f>
        <v>10000</v>
      </c>
      <c r="AQ27" s="8">
        <f>SUM($AQ$23:$AQ$26)</f>
        <v>10000</v>
      </c>
      <c r="AR27" s="14">
        <f>SUM($AR$23:$AR$26)</f>
        <v>10</v>
      </c>
      <c r="AS27" s="14">
        <f>SUM($AS$23:$AS$26)</f>
        <v>0</v>
      </c>
      <c r="AT27" s="14">
        <f>SUM($AT$23:$AT$26)</f>
        <v>0</v>
      </c>
      <c r="AU27" s="14">
        <f>SUM($AU$23:$AU$26)</f>
        <v>0</v>
      </c>
      <c r="AV27" s="8">
        <f>SUM($AV$23:$AV$26)</f>
        <v>0</v>
      </c>
      <c r="AW27" s="8">
        <f>SUM($AW$23:$AW$26)</f>
        <v>10000</v>
      </c>
      <c r="AX27" s="8">
        <f>SUM($AX$23:$AX$26)</f>
        <v>10000</v>
      </c>
      <c r="AY27" s="14">
        <f>SUM($AY$23:$AY$26)</f>
        <v>10</v>
      </c>
      <c r="AZ27" s="14">
        <f>SUM($AZ$23:$AZ$26)</f>
        <v>0</v>
      </c>
      <c r="BA27" s="14">
        <f>SUM($BA$23:$BA$26)</f>
        <v>0</v>
      </c>
      <c r="BB27" s="14">
        <f>SUM($BB$23:$BB$26)</f>
        <v>0</v>
      </c>
      <c r="BC27" s="8">
        <f>SUM($BC$23:$BC$26)</f>
        <v>0</v>
      </c>
      <c r="BD27" s="8">
        <f>SUM($BD$23:$BD$26)</f>
        <v>10000</v>
      </c>
      <c r="BE27" s="8">
        <f>SUM($BE$23:$BE$26)</f>
        <v>10000</v>
      </c>
      <c r="BF27" s="14">
        <f>SUM($BF$23:$BF$26)</f>
        <v>10</v>
      </c>
      <c r="BG27" s="14">
        <f>SUM($BG$23:$BG$26)</f>
        <v>0</v>
      </c>
      <c r="BH27" s="14">
        <f>SUM($BH$23:$BH$26)</f>
        <v>0</v>
      </c>
      <c r="BI27" s="14">
        <f>SUM($BI$23:$BI$26)</f>
        <v>0</v>
      </c>
      <c r="BJ27" s="8">
        <f>SUM($BJ$23:$BJ$26)</f>
        <v>0</v>
      </c>
      <c r="BK27" s="8">
        <f>SUM($BK$23:$BK$26)</f>
        <v>10000</v>
      </c>
      <c r="BL27" s="8">
        <f>SUM($BL$23:$BL$26)</f>
        <v>10000</v>
      </c>
      <c r="BM27" s="14">
        <f>SUM($BM$23:$BM$26)</f>
        <v>10</v>
      </c>
      <c r="BN27" s="14">
        <f>SUM($BN$23:$BN$26)</f>
        <v>0</v>
      </c>
      <c r="BO27" s="14">
        <f>SUM($BO$23:$BO$26)</f>
        <v>0</v>
      </c>
      <c r="BP27" s="8">
        <f>SUM($BP$23:$BP$26)</f>
        <v>18000</v>
      </c>
      <c r="BQ27" s="8">
        <f>SUM($BQ$23:$BQ$26)</f>
        <v>18000</v>
      </c>
      <c r="BR27" s="14">
        <f>SUM($BR$23:$BR$26)</f>
        <v>18</v>
      </c>
      <c r="BS27" s="14">
        <f>SUM($BS$23:$BS$26)</f>
        <v>0</v>
      </c>
      <c r="BT27" s="14">
        <f>SUM($BT$23:$BT$26)</f>
        <v>0</v>
      </c>
      <c r="BU27" s="8">
        <f>SUM($BU$23:$BU$26)</f>
        <v>18000</v>
      </c>
      <c r="BV27" s="8">
        <f>SUM($BV$23:$BV$26)</f>
        <v>18000</v>
      </c>
      <c r="BW27" s="14">
        <f>SUM($BW$23:$BW$26)</f>
        <v>18</v>
      </c>
      <c r="BX27" s="14">
        <f>SUM($BX$23:$BX$26)</f>
        <v>0</v>
      </c>
      <c r="BY27" s="14">
        <f>SUM($BY$23:$BY$26)</f>
        <v>0</v>
      </c>
      <c r="BZ27" s="8">
        <f>SUM($BZ$23:$BZ$26)</f>
        <v>18000</v>
      </c>
      <c r="CA27" s="8">
        <f>SUM($CA$23:$CA$26)</f>
        <v>18000</v>
      </c>
      <c r="CB27" s="14">
        <f>SUM($CB$23:$CB$26)</f>
        <v>18</v>
      </c>
      <c r="CC27" s="14">
        <f>SUM($CC$23:$CC$26)</f>
        <v>0</v>
      </c>
      <c r="CD27" s="14">
        <f>SUM($CD$23:$CD$26)</f>
        <v>0</v>
      </c>
      <c r="CE27" s="8">
        <f>SUM($CE$23:$CE$26)</f>
        <v>18000</v>
      </c>
      <c r="CF27" s="8">
        <f>SUM($CF$23:$CF$26)</f>
        <v>18000</v>
      </c>
      <c r="CG27" s="14">
        <f>SUM($CG$23:$CG$26)</f>
        <v>18</v>
      </c>
      <c r="CH27" s="14">
        <f>SUM($CH$23:$CH$26)</f>
        <v>0</v>
      </c>
      <c r="CI27" s="14">
        <f>SUM($CI$23:$CI$26)</f>
        <v>0</v>
      </c>
      <c r="CJ27" s="8">
        <f>SUM($CJ$23:$CJ$26)</f>
        <v>18000</v>
      </c>
      <c r="CK27" s="8">
        <f>SUM($CK$23:$CK$26)</f>
        <v>18000</v>
      </c>
      <c r="CL27" s="14">
        <f>SUM($CL$23:$CL$26)</f>
        <v>18</v>
      </c>
      <c r="CM27" s="14">
        <f>SUM($CM$23:$CM$26)</f>
        <v>0</v>
      </c>
      <c r="CN27" s="14">
        <f>SUM($CN$23:$CN$26)</f>
        <v>0</v>
      </c>
      <c r="CO27" s="14">
        <f>SUM($CO$23:$CO$26)</f>
        <v>0</v>
      </c>
      <c r="CP27" s="9">
        <f>SUM($CP$23:$CP$26)</f>
        <v>150000</v>
      </c>
      <c r="CQ27" s="9">
        <f>SUM($CQ$23:$CQ$26)</f>
        <v>150000</v>
      </c>
      <c r="CR27" s="14">
        <f>SUM($CR$23:$CR$26)</f>
        <v>13.2</v>
      </c>
      <c r="CS27" s="14">
        <f>SUM($CS$23:$CS$26)</f>
        <v>0</v>
      </c>
      <c r="CT27" s="14">
        <f>SUM($CT$23:$CT$26)</f>
        <v>0</v>
      </c>
      <c r="CU27" s="14">
        <f>SUM($CU$23:$CU$26)</f>
        <v>0</v>
      </c>
      <c r="CV27" s="8">
        <f>SUM($CV$23:$CV$26)</f>
        <v>-150000</v>
      </c>
      <c r="CW27" s="8">
        <f>SUM($CW$23:$CW$26)</f>
        <v>-150000</v>
      </c>
      <c r="CX27" s="14">
        <f>SUM($CX$23:$CX$26)</f>
        <v>0</v>
      </c>
      <c r="CY27" s="14">
        <f>SUM($CY$23:$CY$26)</f>
        <v>0</v>
      </c>
      <c r="CZ27" s="14">
        <f>SUM($CZ$23:$CZ$26)</f>
        <v>0</v>
      </c>
      <c r="DA27" s="14">
        <f>SUM($DA$23:$DA$26)</f>
        <v>0</v>
      </c>
      <c r="DB27" s="8">
        <f>SUM($DB$23:$DB$26)</f>
        <v>150000</v>
      </c>
      <c r="DC27" s="8">
        <f>SUM($DC$23:$DC$26)</f>
        <v>150000</v>
      </c>
    </row>
    <row r="28" spans="1:107" x14ac:dyDescent="0.3">
      <c r="A28" s="4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9"/>
      <c r="CQ28" s="9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</row>
    <row r="29" spans="1:107" x14ac:dyDescent="0.3">
      <c r="A29" s="10"/>
      <c r="B29" s="10" t="s">
        <v>198</v>
      </c>
      <c r="C29" s="11" t="s">
        <v>105</v>
      </c>
      <c r="D29" s="11" t="s">
        <v>106</v>
      </c>
      <c r="E29" s="11" t="s">
        <v>160</v>
      </c>
      <c r="F29" s="11" t="s">
        <v>161</v>
      </c>
      <c r="G29" s="11"/>
      <c r="H29" s="11" t="s">
        <v>162</v>
      </c>
      <c r="I29" s="11">
        <v>5841813202</v>
      </c>
      <c r="J29" s="11" t="s">
        <v>109</v>
      </c>
      <c r="K29" s="11" t="s">
        <v>162</v>
      </c>
      <c r="L29" s="11" t="s">
        <v>162</v>
      </c>
      <c r="M29" s="11" t="s">
        <v>163</v>
      </c>
      <c r="N29" s="11" t="s">
        <v>112</v>
      </c>
      <c r="O29" s="12" t="s">
        <v>113</v>
      </c>
      <c r="P29" s="12"/>
      <c r="Q29" s="13"/>
      <c r="R29" s="13"/>
      <c r="S29" s="14">
        <v>0</v>
      </c>
      <c r="T29" s="14">
        <v>0</v>
      </c>
      <c r="U29" s="8">
        <v>0</v>
      </c>
      <c r="V29" s="8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8">
        <v>0</v>
      </c>
      <c r="AC29" s="8">
        <v>0</v>
      </c>
      <c r="AD29" s="14">
        <v>0</v>
      </c>
      <c r="AE29" s="14">
        <v>0</v>
      </c>
      <c r="AF29" s="14">
        <v>0</v>
      </c>
      <c r="AG29" s="14">
        <v>0</v>
      </c>
      <c r="AH29" s="8">
        <v>0</v>
      </c>
      <c r="AI29" s="8">
        <v>2000</v>
      </c>
      <c r="AJ29" s="8">
        <v>2000</v>
      </c>
      <c r="AK29" s="14">
        <v>2</v>
      </c>
      <c r="AL29" s="14">
        <v>0</v>
      </c>
      <c r="AM29" s="14">
        <v>0</v>
      </c>
      <c r="AN29" s="14">
        <v>0</v>
      </c>
      <c r="AO29" s="8">
        <v>0</v>
      </c>
      <c r="AP29" s="8">
        <v>3000</v>
      </c>
      <c r="AQ29" s="8">
        <v>3000</v>
      </c>
      <c r="AR29" s="14">
        <v>3</v>
      </c>
      <c r="AS29" s="14">
        <v>0</v>
      </c>
      <c r="AT29" s="14">
        <v>0</v>
      </c>
      <c r="AU29" s="14">
        <v>0</v>
      </c>
      <c r="AV29" s="8">
        <v>0</v>
      </c>
      <c r="AW29" s="8">
        <v>4000</v>
      </c>
      <c r="AX29" s="8">
        <v>4000</v>
      </c>
      <c r="AY29" s="14">
        <v>4</v>
      </c>
      <c r="AZ29" s="14">
        <v>0</v>
      </c>
      <c r="BA29" s="14">
        <v>0</v>
      </c>
      <c r="BB29" s="14">
        <v>0</v>
      </c>
      <c r="BC29" s="8">
        <v>0</v>
      </c>
      <c r="BD29" s="8">
        <v>4000</v>
      </c>
      <c r="BE29" s="8">
        <v>4000</v>
      </c>
      <c r="BF29" s="14">
        <v>4</v>
      </c>
      <c r="BG29" s="14">
        <v>0</v>
      </c>
      <c r="BH29" s="14">
        <v>0</v>
      </c>
      <c r="BI29" s="14">
        <v>0</v>
      </c>
      <c r="BJ29" s="8">
        <v>0</v>
      </c>
      <c r="BK29" s="8">
        <v>4000</v>
      </c>
      <c r="BL29" s="8">
        <v>4000</v>
      </c>
      <c r="BM29" s="14">
        <v>4</v>
      </c>
      <c r="BN29" s="14">
        <v>0</v>
      </c>
      <c r="BO29" s="14">
        <v>0</v>
      </c>
      <c r="BP29" s="8">
        <v>4000</v>
      </c>
      <c r="BQ29" s="8">
        <v>4000</v>
      </c>
      <c r="BR29" s="14">
        <v>4</v>
      </c>
      <c r="BS29" s="14">
        <v>0</v>
      </c>
      <c r="BT29" s="14">
        <v>0</v>
      </c>
      <c r="BU29" s="8">
        <v>4000</v>
      </c>
      <c r="BV29" s="8">
        <v>4000</v>
      </c>
      <c r="BW29" s="14">
        <v>4</v>
      </c>
      <c r="BX29" s="14">
        <v>0</v>
      </c>
      <c r="BY29" s="14">
        <v>0</v>
      </c>
      <c r="BZ29" s="8">
        <v>4000</v>
      </c>
      <c r="CA29" s="8">
        <v>4000</v>
      </c>
      <c r="CB29" s="14">
        <v>4</v>
      </c>
      <c r="CC29" s="14">
        <v>0</v>
      </c>
      <c r="CD29" s="14">
        <v>0</v>
      </c>
      <c r="CE29" s="8">
        <v>4000</v>
      </c>
      <c r="CF29" s="8">
        <v>4000</v>
      </c>
      <c r="CG29" s="14">
        <v>4</v>
      </c>
      <c r="CH29" s="14">
        <v>0</v>
      </c>
      <c r="CI29" s="14">
        <v>0</v>
      </c>
      <c r="CJ29" s="8">
        <v>4000</v>
      </c>
      <c r="CK29" s="8">
        <v>4000</v>
      </c>
      <c r="CL29" s="14">
        <v>4</v>
      </c>
      <c r="CM29" s="14">
        <v>0</v>
      </c>
      <c r="CN29" s="14">
        <v>0</v>
      </c>
      <c r="CO29" s="14">
        <v>0</v>
      </c>
      <c r="CP29" s="9">
        <v>37000</v>
      </c>
      <c r="CQ29" s="9">
        <v>37000</v>
      </c>
      <c r="CR29" s="14">
        <v>3.1</v>
      </c>
      <c r="CS29" s="14">
        <v>0</v>
      </c>
      <c r="CT29" s="14">
        <v>0</v>
      </c>
      <c r="CU29" s="14">
        <v>0</v>
      </c>
      <c r="CV29" s="8">
        <v>-37000</v>
      </c>
      <c r="CW29" s="8">
        <v>-37000</v>
      </c>
      <c r="CX29" s="14">
        <v>0</v>
      </c>
      <c r="CY29" s="14">
        <v>0</v>
      </c>
      <c r="CZ29" s="14">
        <v>0</v>
      </c>
      <c r="DA29" s="14">
        <v>0</v>
      </c>
      <c r="DB29" s="8">
        <v>37000</v>
      </c>
      <c r="DC29" s="8">
        <v>37000</v>
      </c>
    </row>
    <row r="30" spans="1:107" x14ac:dyDescent="0.3">
      <c r="A30" s="4"/>
      <c r="B30" s="4" t="s">
        <v>126</v>
      </c>
      <c r="C30" s="5" t="s">
        <v>105</v>
      </c>
      <c r="D30" s="5" t="s">
        <v>106</v>
      </c>
      <c r="E30" s="5" t="s">
        <v>107</v>
      </c>
      <c r="F30" s="5" t="s">
        <v>171</v>
      </c>
      <c r="G30" s="5"/>
      <c r="H30" s="5" t="s">
        <v>172</v>
      </c>
      <c r="I30" s="5">
        <v>5841813202</v>
      </c>
      <c r="J30" s="5" t="s">
        <v>109</v>
      </c>
      <c r="K30" s="5" t="s">
        <v>172</v>
      </c>
      <c r="L30" s="5" t="s">
        <v>172</v>
      </c>
      <c r="M30" s="5" t="s">
        <v>163</v>
      </c>
      <c r="N30" s="5" t="s">
        <v>112</v>
      </c>
      <c r="O30" s="6" t="s">
        <v>113</v>
      </c>
      <c r="P30" s="6"/>
      <c r="Q30" s="7"/>
      <c r="R30" s="7"/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0</v>
      </c>
      <c r="BO30" s="8">
        <v>0</v>
      </c>
      <c r="BP30" s="8">
        <v>4000</v>
      </c>
      <c r="BQ30" s="8">
        <v>4000</v>
      </c>
      <c r="BR30" s="8">
        <v>4</v>
      </c>
      <c r="BS30" s="8">
        <v>0</v>
      </c>
      <c r="BT30" s="8">
        <v>0</v>
      </c>
      <c r="BU30" s="8">
        <v>4000</v>
      </c>
      <c r="BV30" s="8">
        <v>4000</v>
      </c>
      <c r="BW30" s="8">
        <v>4</v>
      </c>
      <c r="BX30" s="8">
        <v>0</v>
      </c>
      <c r="BY30" s="8">
        <v>0</v>
      </c>
      <c r="BZ30" s="8">
        <v>4000</v>
      </c>
      <c r="CA30" s="8">
        <v>4000</v>
      </c>
      <c r="CB30" s="8">
        <v>4</v>
      </c>
      <c r="CC30" s="8">
        <v>0</v>
      </c>
      <c r="CD30" s="8">
        <v>0</v>
      </c>
      <c r="CE30" s="8">
        <v>4000</v>
      </c>
      <c r="CF30" s="8">
        <v>4000</v>
      </c>
      <c r="CG30" s="8">
        <v>4</v>
      </c>
      <c r="CH30" s="8">
        <v>0</v>
      </c>
      <c r="CI30" s="8">
        <v>0</v>
      </c>
      <c r="CJ30" s="8">
        <v>4000</v>
      </c>
      <c r="CK30" s="8">
        <v>4000</v>
      </c>
      <c r="CL30" s="8">
        <v>4</v>
      </c>
      <c r="CM30" s="8">
        <v>0</v>
      </c>
      <c r="CN30" s="8">
        <v>0</v>
      </c>
      <c r="CO30" s="8">
        <v>0</v>
      </c>
      <c r="CP30" s="9">
        <v>20000</v>
      </c>
      <c r="CQ30" s="9">
        <v>20000</v>
      </c>
      <c r="CR30" s="8">
        <v>2</v>
      </c>
      <c r="CS30" s="8">
        <v>0</v>
      </c>
      <c r="CT30" s="8">
        <v>0</v>
      </c>
      <c r="CU30" s="8">
        <v>0</v>
      </c>
      <c r="CV30" s="8">
        <v>-20000</v>
      </c>
      <c r="CW30" s="8">
        <v>-20000</v>
      </c>
      <c r="CX30" s="8">
        <v>0</v>
      </c>
      <c r="CY30" s="8">
        <v>0</v>
      </c>
      <c r="CZ30" s="8">
        <v>0</v>
      </c>
      <c r="DA30" s="8">
        <v>0</v>
      </c>
      <c r="DB30" s="8">
        <v>20000</v>
      </c>
      <c r="DC30" s="8">
        <v>20000</v>
      </c>
    </row>
    <row r="31" spans="1:107" x14ac:dyDescent="0.3">
      <c r="A31" s="10"/>
      <c r="B31" s="10" t="s">
        <v>126</v>
      </c>
      <c r="C31" s="11" t="s">
        <v>105</v>
      </c>
      <c r="D31" s="11" t="s">
        <v>106</v>
      </c>
      <c r="E31" s="11" t="s">
        <v>107</v>
      </c>
      <c r="F31" s="11" t="s">
        <v>171</v>
      </c>
      <c r="G31" s="11"/>
      <c r="H31" s="11" t="s">
        <v>172</v>
      </c>
      <c r="I31" s="11">
        <v>5841813202</v>
      </c>
      <c r="J31" s="11" t="s">
        <v>109</v>
      </c>
      <c r="K31" s="11" t="s">
        <v>172</v>
      </c>
      <c r="L31" s="11" t="s">
        <v>172</v>
      </c>
      <c r="M31" s="11" t="s">
        <v>163</v>
      </c>
      <c r="N31" s="11" t="s">
        <v>112</v>
      </c>
      <c r="O31" s="12" t="s">
        <v>113</v>
      </c>
      <c r="P31" s="12"/>
      <c r="Q31" s="13"/>
      <c r="R31" s="13"/>
      <c r="S31" s="14">
        <v>0</v>
      </c>
      <c r="T31" s="14">
        <v>0</v>
      </c>
      <c r="U31" s="8">
        <v>0</v>
      </c>
      <c r="V31" s="8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8">
        <v>0</v>
      </c>
      <c r="AC31" s="8">
        <v>0</v>
      </c>
      <c r="AD31" s="14">
        <v>0</v>
      </c>
      <c r="AE31" s="14">
        <v>0</v>
      </c>
      <c r="AF31" s="14">
        <v>0</v>
      </c>
      <c r="AG31" s="14">
        <v>0</v>
      </c>
      <c r="AH31" s="8">
        <v>0</v>
      </c>
      <c r="AI31" s="8">
        <v>0</v>
      </c>
      <c r="AJ31" s="8">
        <v>0</v>
      </c>
      <c r="AK31" s="14">
        <v>0</v>
      </c>
      <c r="AL31" s="14">
        <v>0</v>
      </c>
      <c r="AM31" s="14">
        <v>0</v>
      </c>
      <c r="AN31" s="14">
        <v>0</v>
      </c>
      <c r="AO31" s="8">
        <v>0</v>
      </c>
      <c r="AP31" s="8">
        <v>0</v>
      </c>
      <c r="AQ31" s="8">
        <v>0</v>
      </c>
      <c r="AR31" s="14">
        <v>0</v>
      </c>
      <c r="AS31" s="14">
        <v>0</v>
      </c>
      <c r="AT31" s="14">
        <v>0</v>
      </c>
      <c r="AU31" s="14">
        <v>0</v>
      </c>
      <c r="AV31" s="8">
        <v>0</v>
      </c>
      <c r="AW31" s="8">
        <v>0</v>
      </c>
      <c r="AX31" s="8">
        <v>0</v>
      </c>
      <c r="AY31" s="14">
        <v>0</v>
      </c>
      <c r="AZ31" s="14">
        <v>0</v>
      </c>
      <c r="BA31" s="14">
        <v>0</v>
      </c>
      <c r="BB31" s="14">
        <v>0</v>
      </c>
      <c r="BC31" s="8">
        <v>0</v>
      </c>
      <c r="BD31" s="8">
        <v>0</v>
      </c>
      <c r="BE31" s="8">
        <v>0</v>
      </c>
      <c r="BF31" s="14">
        <v>0</v>
      </c>
      <c r="BG31" s="14">
        <v>0</v>
      </c>
      <c r="BH31" s="14">
        <v>0</v>
      </c>
      <c r="BI31" s="14">
        <v>0</v>
      </c>
      <c r="BJ31" s="8">
        <v>0</v>
      </c>
      <c r="BK31" s="8">
        <v>0</v>
      </c>
      <c r="BL31" s="8">
        <v>0</v>
      </c>
      <c r="BM31" s="14">
        <v>0</v>
      </c>
      <c r="BN31" s="14">
        <v>0</v>
      </c>
      <c r="BO31" s="14">
        <v>0</v>
      </c>
      <c r="BP31" s="8">
        <v>4000</v>
      </c>
      <c r="BQ31" s="8">
        <v>4000</v>
      </c>
      <c r="BR31" s="14">
        <v>4</v>
      </c>
      <c r="BS31" s="14">
        <v>0</v>
      </c>
      <c r="BT31" s="14">
        <v>0</v>
      </c>
      <c r="BU31" s="8">
        <v>4000</v>
      </c>
      <c r="BV31" s="8">
        <v>4000</v>
      </c>
      <c r="BW31" s="14">
        <v>4</v>
      </c>
      <c r="BX31" s="14">
        <v>0</v>
      </c>
      <c r="BY31" s="14">
        <v>0</v>
      </c>
      <c r="BZ31" s="8">
        <v>4000</v>
      </c>
      <c r="CA31" s="8">
        <v>4000</v>
      </c>
      <c r="CB31" s="14">
        <v>4</v>
      </c>
      <c r="CC31" s="14">
        <v>0</v>
      </c>
      <c r="CD31" s="14">
        <v>0</v>
      </c>
      <c r="CE31" s="8">
        <v>4000</v>
      </c>
      <c r="CF31" s="8">
        <v>4000</v>
      </c>
      <c r="CG31" s="14">
        <v>4</v>
      </c>
      <c r="CH31" s="14">
        <v>0</v>
      </c>
      <c r="CI31" s="14">
        <v>0</v>
      </c>
      <c r="CJ31" s="8">
        <v>4000</v>
      </c>
      <c r="CK31" s="8">
        <v>4000</v>
      </c>
      <c r="CL31" s="14">
        <v>4</v>
      </c>
      <c r="CM31" s="14">
        <v>0</v>
      </c>
      <c r="CN31" s="14">
        <v>0</v>
      </c>
      <c r="CO31" s="14">
        <v>0</v>
      </c>
      <c r="CP31" s="9">
        <v>20000</v>
      </c>
      <c r="CQ31" s="9">
        <v>20000</v>
      </c>
      <c r="CR31" s="14">
        <v>2</v>
      </c>
      <c r="CS31" s="14">
        <v>0</v>
      </c>
      <c r="CT31" s="14">
        <v>0</v>
      </c>
      <c r="CU31" s="14">
        <v>0</v>
      </c>
      <c r="CV31" s="8">
        <v>-20000</v>
      </c>
      <c r="CW31" s="8">
        <v>-20000</v>
      </c>
      <c r="CX31" s="14">
        <v>0</v>
      </c>
      <c r="CY31" s="14">
        <v>0</v>
      </c>
      <c r="CZ31" s="14">
        <v>0</v>
      </c>
      <c r="DA31" s="14">
        <v>0</v>
      </c>
      <c r="DB31" s="8">
        <v>20000</v>
      </c>
      <c r="DC31" s="8">
        <v>20000</v>
      </c>
    </row>
    <row r="32" spans="1:107" x14ac:dyDescent="0.3">
      <c r="A32" s="4"/>
      <c r="B32" s="4"/>
      <c r="C32" s="5"/>
      <c r="D32" s="5" t="s">
        <v>196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>
        <f>SUM($S$29:$S$31)</f>
        <v>0</v>
      </c>
      <c r="T32" s="8">
        <f>SUM($T$29:$T$31)</f>
        <v>0</v>
      </c>
      <c r="U32" s="8">
        <f>SUM($U$29:$U$31)</f>
        <v>0</v>
      </c>
      <c r="V32" s="8">
        <f>SUM($V$29:$V$31)</f>
        <v>0</v>
      </c>
      <c r="W32" s="8">
        <f>SUM($W$29:$W$31)</f>
        <v>0</v>
      </c>
      <c r="X32" s="8">
        <f>SUM($X$29:$X$31)</f>
        <v>0</v>
      </c>
      <c r="Y32" s="8">
        <f>SUM($Y$29:$Y$31)</f>
        <v>0</v>
      </c>
      <c r="Z32" s="8">
        <f>SUM($Z$29:$Z$31)</f>
        <v>0</v>
      </c>
      <c r="AA32" s="8">
        <f>SUM($AA$29:$AA$31)</f>
        <v>0</v>
      </c>
      <c r="AB32" s="8">
        <f>SUM($AB$29:$AB$31)</f>
        <v>0</v>
      </c>
      <c r="AC32" s="8">
        <f>SUM($AC$29:$AC$31)</f>
        <v>0</v>
      </c>
      <c r="AD32" s="8">
        <f>SUM($AD$29:$AD$31)</f>
        <v>0</v>
      </c>
      <c r="AE32" s="8">
        <f>SUM($AE$29:$AE$31)</f>
        <v>0</v>
      </c>
      <c r="AF32" s="8">
        <f>SUM($AF$29:$AF$31)</f>
        <v>0</v>
      </c>
      <c r="AG32" s="8">
        <f>SUM($AG$29:$AG$31)</f>
        <v>0</v>
      </c>
      <c r="AH32" s="8">
        <f>SUM($AH$29:$AH$31)</f>
        <v>0</v>
      </c>
      <c r="AI32" s="8">
        <f>SUM($AI$29:$AI$31)</f>
        <v>2000</v>
      </c>
      <c r="AJ32" s="8">
        <f>SUM($AJ$29:$AJ$31)</f>
        <v>2000</v>
      </c>
      <c r="AK32" s="8">
        <f>SUM($AK$29:$AK$31)</f>
        <v>2</v>
      </c>
      <c r="AL32" s="8">
        <f>SUM($AL$29:$AL$31)</f>
        <v>0</v>
      </c>
      <c r="AM32" s="8">
        <f>SUM($AM$29:$AM$31)</f>
        <v>0</v>
      </c>
      <c r="AN32" s="8">
        <f>SUM($AN$29:$AN$31)</f>
        <v>0</v>
      </c>
      <c r="AO32" s="8">
        <f>SUM($AO$29:$AO$31)</f>
        <v>0</v>
      </c>
      <c r="AP32" s="8">
        <f>SUM($AP$29:$AP$31)</f>
        <v>3000</v>
      </c>
      <c r="AQ32" s="8">
        <f>SUM($AQ$29:$AQ$31)</f>
        <v>3000</v>
      </c>
      <c r="AR32" s="8">
        <f>SUM($AR$29:$AR$31)</f>
        <v>3</v>
      </c>
      <c r="AS32" s="8">
        <f>SUM($AS$29:$AS$31)</f>
        <v>0</v>
      </c>
      <c r="AT32" s="8">
        <f>SUM($AT$29:$AT$31)</f>
        <v>0</v>
      </c>
      <c r="AU32" s="8">
        <f>SUM($AU$29:$AU$31)</f>
        <v>0</v>
      </c>
      <c r="AV32" s="8">
        <f>SUM($AV$29:$AV$31)</f>
        <v>0</v>
      </c>
      <c r="AW32" s="8">
        <f>SUM($AW$29:$AW$31)</f>
        <v>4000</v>
      </c>
      <c r="AX32" s="8">
        <f>SUM($AX$29:$AX$31)</f>
        <v>4000</v>
      </c>
      <c r="AY32" s="8">
        <f>SUM($AY$29:$AY$31)</f>
        <v>4</v>
      </c>
      <c r="AZ32" s="8">
        <f>SUM($AZ$29:$AZ$31)</f>
        <v>0</v>
      </c>
      <c r="BA32" s="8">
        <f>SUM($BA$29:$BA$31)</f>
        <v>0</v>
      </c>
      <c r="BB32" s="8">
        <f>SUM($BB$29:$BB$31)</f>
        <v>0</v>
      </c>
      <c r="BC32" s="8">
        <f>SUM($BC$29:$BC$31)</f>
        <v>0</v>
      </c>
      <c r="BD32" s="8">
        <f>SUM($BD$29:$BD$31)</f>
        <v>4000</v>
      </c>
      <c r="BE32" s="8">
        <f>SUM($BE$29:$BE$31)</f>
        <v>4000</v>
      </c>
      <c r="BF32" s="8">
        <f>SUM($BF$29:$BF$31)</f>
        <v>4</v>
      </c>
      <c r="BG32" s="8">
        <f>SUM($BG$29:$BG$31)</f>
        <v>0</v>
      </c>
      <c r="BH32" s="8">
        <f>SUM($BH$29:$BH$31)</f>
        <v>0</v>
      </c>
      <c r="BI32" s="8">
        <f>SUM($BI$29:$BI$31)</f>
        <v>0</v>
      </c>
      <c r="BJ32" s="8">
        <f>SUM($BJ$29:$BJ$31)</f>
        <v>0</v>
      </c>
      <c r="BK32" s="8">
        <f>SUM($BK$29:$BK$31)</f>
        <v>4000</v>
      </c>
      <c r="BL32" s="8">
        <f>SUM($BL$29:$BL$31)</f>
        <v>4000</v>
      </c>
      <c r="BM32" s="8">
        <f>SUM($BM$29:$BM$31)</f>
        <v>4</v>
      </c>
      <c r="BN32" s="8">
        <f>SUM($BN$29:$BN$31)</f>
        <v>0</v>
      </c>
      <c r="BO32" s="8">
        <f>SUM($BO$29:$BO$31)</f>
        <v>0</v>
      </c>
      <c r="BP32" s="8">
        <f>SUM($BP$29:$BP$31)</f>
        <v>12000</v>
      </c>
      <c r="BQ32" s="8">
        <f>SUM($BQ$29:$BQ$31)</f>
        <v>12000</v>
      </c>
      <c r="BR32" s="8">
        <f>SUM($BR$29:$BR$31)</f>
        <v>12</v>
      </c>
      <c r="BS32" s="8">
        <f>SUM($BS$29:$BS$31)</f>
        <v>0</v>
      </c>
      <c r="BT32" s="8">
        <f>SUM($BT$29:$BT$31)</f>
        <v>0</v>
      </c>
      <c r="BU32" s="8">
        <f>SUM($BU$29:$BU$31)</f>
        <v>12000</v>
      </c>
      <c r="BV32" s="8">
        <f>SUM($BV$29:$BV$31)</f>
        <v>12000</v>
      </c>
      <c r="BW32" s="8">
        <f>SUM($BW$29:$BW$31)</f>
        <v>12</v>
      </c>
      <c r="BX32" s="8">
        <f>SUM($BX$29:$BX$31)</f>
        <v>0</v>
      </c>
      <c r="BY32" s="8">
        <f>SUM($BY$29:$BY$31)</f>
        <v>0</v>
      </c>
      <c r="BZ32" s="8">
        <f>SUM($BZ$29:$BZ$31)</f>
        <v>12000</v>
      </c>
      <c r="CA32" s="8">
        <f>SUM($CA$29:$CA$31)</f>
        <v>12000</v>
      </c>
      <c r="CB32" s="8">
        <f>SUM($CB$29:$CB$31)</f>
        <v>12</v>
      </c>
      <c r="CC32" s="8">
        <f>SUM($CC$29:$CC$31)</f>
        <v>0</v>
      </c>
      <c r="CD32" s="8">
        <f>SUM($CD$29:$CD$31)</f>
        <v>0</v>
      </c>
      <c r="CE32" s="8">
        <f>SUM($CE$29:$CE$31)</f>
        <v>12000</v>
      </c>
      <c r="CF32" s="8">
        <f>SUM($CF$29:$CF$31)</f>
        <v>12000</v>
      </c>
      <c r="CG32" s="8">
        <f>SUM($CG$29:$CG$31)</f>
        <v>12</v>
      </c>
      <c r="CH32" s="8">
        <f>SUM($CH$29:$CH$31)</f>
        <v>0</v>
      </c>
      <c r="CI32" s="8">
        <f>SUM($CI$29:$CI$31)</f>
        <v>0</v>
      </c>
      <c r="CJ32" s="8">
        <f>SUM($CJ$29:$CJ$31)</f>
        <v>12000</v>
      </c>
      <c r="CK32" s="8">
        <f>SUM($CK$29:$CK$31)</f>
        <v>12000</v>
      </c>
      <c r="CL32" s="8">
        <f>SUM($CL$29:$CL$31)</f>
        <v>12</v>
      </c>
      <c r="CM32" s="8">
        <f>SUM($CM$29:$CM$31)</f>
        <v>0</v>
      </c>
      <c r="CN32" s="8">
        <f>SUM($CN$29:$CN$31)</f>
        <v>0</v>
      </c>
      <c r="CO32" s="8">
        <f>SUM($CO$29:$CO$31)</f>
        <v>0</v>
      </c>
      <c r="CP32" s="9">
        <f>SUM($CP$29:$CP$31)</f>
        <v>77000</v>
      </c>
      <c r="CQ32" s="9">
        <f>SUM($CQ$29:$CQ$31)</f>
        <v>77000</v>
      </c>
      <c r="CR32" s="8">
        <f>SUM($CR$29:$CR$31)</f>
        <v>7.1</v>
      </c>
      <c r="CS32" s="8">
        <f>SUM($CS$29:$CS$31)</f>
        <v>0</v>
      </c>
      <c r="CT32" s="8">
        <f>SUM($CT$29:$CT$31)</f>
        <v>0</v>
      </c>
      <c r="CU32" s="8">
        <f>SUM($CU$29:$CU$31)</f>
        <v>0</v>
      </c>
      <c r="CV32" s="8">
        <f>SUM($CV$29:$CV$31)</f>
        <v>-77000</v>
      </c>
      <c r="CW32" s="8">
        <f>SUM($CW$29:$CW$31)</f>
        <v>-77000</v>
      </c>
      <c r="CX32" s="8">
        <f>SUM($CX$29:$CX$31)</f>
        <v>0</v>
      </c>
      <c r="CY32" s="8">
        <f>SUM($CY$29:$CY$31)</f>
        <v>0</v>
      </c>
      <c r="CZ32" s="8">
        <f>SUM($CZ$29:$CZ$31)</f>
        <v>0</v>
      </c>
      <c r="DA32" s="8">
        <f>SUM($DA$29:$DA$31)</f>
        <v>0</v>
      </c>
      <c r="DB32" s="8">
        <f>SUM($DB$29:$DB$31)</f>
        <v>77000</v>
      </c>
      <c r="DC32" s="8">
        <f>SUM($DC$29:$DC$31)</f>
        <v>77000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22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189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189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</row>
    <row r="33" spans="72:88" x14ac:dyDescent="0.3">
      <c r="BT33" s="20"/>
      <c r="BU33" s="21"/>
      <c r="BY33" s="20"/>
      <c r="BZ33" s="21"/>
      <c r="CD33" s="20"/>
      <c r="CE33" s="21"/>
      <c r="CI33" s="20"/>
      <c r="CJ33" s="21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2026-05-18T05:08:46Z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
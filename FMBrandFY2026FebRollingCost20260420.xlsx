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enkailing\AppData\Local\Temp\"/>
    </mc:Choice>
  </mc:AlternateContent>
  <xr:revisionPtr revIDLastSave="0" documentId="8_{B080F01A-60C3-4BC8-8A94-0DB23C349E03}" xr6:coauthVersionLast="47" xr6:coauthVersionMax="47" xr10:uidLastSave="{00000000-0000-0000-0000-000000000000}"/>
  <bookViews>
    <workbookView xWindow="-110" yWindow="-110" windowWidth="29020" windowHeight="17620" xr2:uid="{678EB2BC-7C27-4084-B14A-B7D2584BD678}"/>
  </bookViews>
  <sheets>
    <sheet name="CostCenterGroupBySumResul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C32" i="1" l="1"/>
  <c r="DB32" i="1"/>
  <c r="DA32" i="1"/>
  <c r="CZ32" i="1"/>
  <c r="CY32" i="1"/>
  <c r="CX32" i="1"/>
  <c r="CW32" i="1"/>
  <c r="CV32" i="1"/>
  <c r="CU32" i="1"/>
  <c r="CT32" i="1"/>
  <c r="CS32" i="1"/>
  <c r="CR32" i="1"/>
  <c r="CQ32" i="1"/>
  <c r="CP32" i="1"/>
  <c r="CO32" i="1"/>
  <c r="CN32" i="1"/>
  <c r="CM32" i="1"/>
  <c r="CL32" i="1"/>
  <c r="CK32" i="1"/>
  <c r="CJ32" i="1"/>
  <c r="CI32" i="1"/>
  <c r="CH32" i="1"/>
  <c r="CG32" i="1"/>
  <c r="CF32" i="1"/>
  <c r="CE32" i="1"/>
  <c r="CD32" i="1"/>
  <c r="CC32" i="1"/>
  <c r="CB32" i="1"/>
  <c r="CA32" i="1"/>
  <c r="BZ32" i="1"/>
  <c r="BY32" i="1"/>
  <c r="BX32" i="1"/>
  <c r="BW32" i="1"/>
  <c r="BV32" i="1"/>
  <c r="BU32" i="1"/>
  <c r="BT32" i="1"/>
  <c r="BS32" i="1"/>
  <c r="BR32" i="1"/>
  <c r="BQ32" i="1"/>
  <c r="BP32" i="1"/>
  <c r="BO32" i="1"/>
  <c r="BN32" i="1"/>
  <c r="BM32" i="1"/>
  <c r="BL32" i="1"/>
  <c r="BK32" i="1"/>
  <c r="BJ32" i="1"/>
  <c r="BI32" i="1"/>
  <c r="BH32" i="1"/>
  <c r="BG32" i="1"/>
  <c r="BF32" i="1"/>
  <c r="BE32" i="1"/>
  <c r="BD32" i="1"/>
  <c r="BC32" i="1"/>
  <c r="BB32" i="1"/>
  <c r="BA32" i="1"/>
  <c r="AZ32" i="1"/>
  <c r="AY32" i="1"/>
  <c r="AX32" i="1"/>
  <c r="AW32" i="1"/>
  <c r="AV32" i="1"/>
  <c r="AU32" i="1"/>
  <c r="AT32" i="1"/>
  <c r="AS32" i="1"/>
  <c r="AR32" i="1"/>
  <c r="AQ32" i="1"/>
  <c r="AP32" i="1"/>
  <c r="AO32" i="1"/>
  <c r="AN32" i="1"/>
  <c r="AM32" i="1"/>
  <c r="AL32" i="1"/>
  <c r="AK32" i="1"/>
  <c r="AJ32" i="1"/>
  <c r="AI32" i="1"/>
  <c r="AH32" i="1"/>
  <c r="AG32" i="1"/>
  <c r="AF32" i="1"/>
  <c r="AE32" i="1"/>
  <c r="AD32" i="1"/>
  <c r="AC32" i="1"/>
  <c r="AB32" i="1"/>
  <c r="AA32" i="1"/>
  <c r="Z32" i="1"/>
  <c r="Y32" i="1"/>
  <c r="X32" i="1"/>
  <c r="W32" i="1"/>
  <c r="V32" i="1"/>
  <c r="U32" i="1"/>
  <c r="T32" i="1"/>
  <c r="S32" i="1"/>
  <c r="DC27" i="1"/>
  <c r="DB27" i="1"/>
  <c r="DA27" i="1"/>
  <c r="CZ27" i="1"/>
  <c r="CY27" i="1"/>
  <c r="CX27" i="1"/>
  <c r="CW27" i="1"/>
  <c r="CV27" i="1"/>
  <c r="CU27" i="1"/>
  <c r="CT27" i="1"/>
  <c r="CS27" i="1"/>
  <c r="CR27" i="1"/>
  <c r="CQ27" i="1"/>
  <c r="CP27" i="1"/>
  <c r="CO27" i="1"/>
  <c r="CN27" i="1"/>
  <c r="CM27" i="1"/>
  <c r="CL27" i="1"/>
  <c r="CK27" i="1"/>
  <c r="CJ27" i="1"/>
  <c r="CI27" i="1"/>
  <c r="CH27" i="1"/>
  <c r="CG27" i="1"/>
  <c r="CF27" i="1"/>
  <c r="CE27" i="1"/>
  <c r="CD27" i="1"/>
  <c r="CC27" i="1"/>
  <c r="CB27" i="1"/>
  <c r="CA27" i="1"/>
  <c r="BZ27" i="1"/>
  <c r="BY27" i="1"/>
  <c r="BX27" i="1"/>
  <c r="BW27" i="1"/>
  <c r="BV27" i="1"/>
  <c r="BU27" i="1"/>
  <c r="BT27" i="1"/>
  <c r="BS27" i="1"/>
  <c r="BR27" i="1"/>
  <c r="BQ27" i="1"/>
  <c r="BP27" i="1"/>
  <c r="BO27" i="1"/>
  <c r="BN27" i="1"/>
  <c r="BM27" i="1"/>
  <c r="BL27" i="1"/>
  <c r="BK27" i="1"/>
  <c r="BJ27" i="1"/>
  <c r="BI27" i="1"/>
  <c r="BH27" i="1"/>
  <c r="BG27" i="1"/>
  <c r="BF27" i="1"/>
  <c r="BE27" i="1"/>
  <c r="BD27" i="1"/>
  <c r="BC27" i="1"/>
  <c r="BB27" i="1"/>
  <c r="BA27" i="1"/>
  <c r="AZ27" i="1"/>
  <c r="AY27" i="1"/>
  <c r="AX27" i="1"/>
  <c r="AW27" i="1"/>
  <c r="AV27" i="1"/>
  <c r="AU27" i="1"/>
  <c r="AT27" i="1"/>
  <c r="AS27" i="1"/>
  <c r="AR27" i="1"/>
  <c r="AQ27" i="1"/>
  <c r="AP27" i="1"/>
  <c r="AO27" i="1"/>
  <c r="AN27" i="1"/>
  <c r="AM27" i="1"/>
  <c r="AL27" i="1"/>
  <c r="AK27" i="1"/>
  <c r="AJ27" i="1"/>
  <c r="AI27" i="1"/>
  <c r="AH27" i="1"/>
  <c r="AG27" i="1"/>
  <c r="AF27" i="1"/>
  <c r="AE27" i="1"/>
  <c r="AD27" i="1"/>
  <c r="AC27" i="1"/>
  <c r="AB27" i="1"/>
  <c r="AA27" i="1"/>
  <c r="Z27" i="1"/>
  <c r="Y27" i="1"/>
  <c r="X27" i="1"/>
  <c r="W27" i="1"/>
  <c r="V27" i="1"/>
  <c r="U27" i="1"/>
  <c r="T27" i="1"/>
  <c r="S27" i="1"/>
  <c r="DC21" i="1"/>
  <c r="DB21" i="1"/>
  <c r="DA21" i="1"/>
  <c r="CZ21" i="1"/>
  <c r="CY21" i="1"/>
  <c r="CX21" i="1"/>
  <c r="CW21" i="1"/>
  <c r="CV21" i="1"/>
  <c r="CU21" i="1"/>
  <c r="CT21" i="1"/>
  <c r="CS21" i="1"/>
  <c r="CR21" i="1"/>
  <c r="CQ21" i="1"/>
  <c r="CP21" i="1"/>
  <c r="CO21" i="1"/>
  <c r="CN21" i="1"/>
  <c r="CM21" i="1"/>
  <c r="CL21" i="1"/>
  <c r="CK21" i="1"/>
  <c r="CJ21" i="1"/>
  <c r="CI21" i="1"/>
  <c r="CH21" i="1"/>
  <c r="CG21" i="1"/>
  <c r="CF21" i="1"/>
  <c r="CE21" i="1"/>
  <c r="CD21" i="1"/>
  <c r="CC21" i="1"/>
  <c r="CB21" i="1"/>
  <c r="CA21" i="1"/>
  <c r="BZ21" i="1"/>
  <c r="BY21" i="1"/>
  <c r="BX21" i="1"/>
  <c r="BW21" i="1"/>
  <c r="BV21" i="1"/>
  <c r="BU21" i="1"/>
  <c r="BT21" i="1"/>
  <c r="BS21" i="1"/>
  <c r="BR21" i="1"/>
  <c r="BQ21" i="1"/>
  <c r="BP21" i="1"/>
  <c r="BO21" i="1"/>
  <c r="BN21" i="1"/>
  <c r="BM21" i="1"/>
  <c r="BL21" i="1"/>
  <c r="BK21" i="1"/>
  <c r="BJ21" i="1"/>
  <c r="BI21" i="1"/>
  <c r="BH21" i="1"/>
  <c r="BG21" i="1"/>
  <c r="BF21" i="1"/>
  <c r="BE21" i="1"/>
  <c r="BD21" i="1"/>
  <c r="BC21" i="1"/>
  <c r="BB21" i="1"/>
  <c r="BA21" i="1"/>
  <c r="AZ21" i="1"/>
  <c r="AY21" i="1"/>
  <c r="AX21" i="1"/>
  <c r="AW21" i="1"/>
  <c r="AV21" i="1"/>
  <c r="AU21" i="1"/>
  <c r="AT21" i="1"/>
  <c r="AS21" i="1"/>
  <c r="AR21" i="1"/>
  <c r="AQ21" i="1"/>
  <c r="AP21" i="1"/>
  <c r="AO21" i="1"/>
  <c r="AN21" i="1"/>
  <c r="AM21" i="1"/>
  <c r="AL21" i="1"/>
  <c r="AK21" i="1"/>
  <c r="AJ21" i="1"/>
  <c r="AI21" i="1"/>
  <c r="AH21" i="1"/>
  <c r="AG21" i="1"/>
  <c r="AF21" i="1"/>
  <c r="AE21" i="1"/>
  <c r="AD21" i="1"/>
  <c r="AC21" i="1"/>
  <c r="AB21" i="1"/>
  <c r="AA21" i="1"/>
  <c r="Z21" i="1"/>
  <c r="Y21" i="1"/>
  <c r="X21" i="1"/>
  <c r="W21" i="1"/>
  <c r="V21" i="1"/>
  <c r="U21" i="1"/>
  <c r="T21" i="1"/>
  <c r="S21" i="1"/>
</calcChain>
</file>

<file path=xl/sharedStrings.xml><?xml version="1.0" encoding="utf-8"?>
<sst xmlns="http://schemas.openxmlformats.org/spreadsheetml/2006/main" count="410" uniqueCount="179">
  <si>
    <t>KL</t>
  </si>
  <si>
    <t>FM</t>
  </si>
  <si>
    <t>品牌</t>
  </si>
  <si>
    <t>财年</t>
  </si>
  <si>
    <t>城市</t>
  </si>
  <si>
    <t>门店名称</t>
  </si>
  <si>
    <t>是否关键门店</t>
  </si>
  <si>
    <t>DoorCode</t>
  </si>
  <si>
    <t>CostCode</t>
  </si>
  <si>
    <t>岗位类型</t>
  </si>
  <si>
    <t>财务编码</t>
  </si>
  <si>
    <t>预算财务编码</t>
  </si>
  <si>
    <t>门店类型</t>
  </si>
  <si>
    <t>DoorConcept</t>
  </si>
  <si>
    <t>DoorType</t>
  </si>
  <si>
    <t>Tier</t>
  </si>
  <si>
    <t>开柜时间</t>
  </si>
  <si>
    <t>关柜时间</t>
  </si>
  <si>
    <t>Retail Sales</t>
  </si>
  <si>
    <t>Net Sales</t>
  </si>
  <si>
    <t>7月薪资</t>
  </si>
  <si>
    <t>7月福利</t>
  </si>
  <si>
    <t>7月HC</t>
  </si>
  <si>
    <t>7月上财年补缴福利</t>
  </si>
  <si>
    <t>7月预提本财年1-6月补缴福利</t>
  </si>
  <si>
    <t>7月预提本财年7-12月补缴福利</t>
  </si>
  <si>
    <t>本财年7-12月实际7月补缴福利</t>
  </si>
  <si>
    <t>8月薪资</t>
  </si>
  <si>
    <t>8月福利</t>
  </si>
  <si>
    <t>8月HC</t>
  </si>
  <si>
    <t>8月上财年补缴福利</t>
  </si>
  <si>
    <t>8月预提本财年1-6月补缴福利</t>
  </si>
  <si>
    <t>8月预提本财年7-12月补缴福利</t>
  </si>
  <si>
    <t>本财年7-12月实际8月补缴福利</t>
  </si>
  <si>
    <t>9月薪资</t>
  </si>
  <si>
    <t>9月福利</t>
  </si>
  <si>
    <t>9月HC</t>
  </si>
  <si>
    <t>9月上财年补缴福利</t>
  </si>
  <si>
    <t>9月预提本财年1-6月补缴福利</t>
  </si>
  <si>
    <t>9月预提本财年7-12月补缴福利</t>
  </si>
  <si>
    <t>本财年7-12月实际9月补缴福利</t>
  </si>
  <si>
    <t>10月薪资</t>
  </si>
  <si>
    <t>10月福利</t>
  </si>
  <si>
    <t>10月HC</t>
  </si>
  <si>
    <t>10月上财年补缴福利</t>
  </si>
  <si>
    <t>10月预提本财年1-6月补缴福利</t>
  </si>
  <si>
    <t>10月预提本财年7-12月补缴福利</t>
  </si>
  <si>
    <t>本财年7-12月实际10月补缴福利</t>
  </si>
  <si>
    <t>11月薪资</t>
  </si>
  <si>
    <t>11月福利</t>
  </si>
  <si>
    <t>11月HC</t>
  </si>
  <si>
    <t>11月上财年补缴福利</t>
  </si>
  <si>
    <t>11月预提本财年1-6月补缴福利</t>
  </si>
  <si>
    <t>11月预提本财年7-12月补缴福利</t>
  </si>
  <si>
    <t>本财年7-12月实际11月补缴福利</t>
  </si>
  <si>
    <t>12月薪资</t>
  </si>
  <si>
    <t>12月福利</t>
  </si>
  <si>
    <t>12月HC</t>
  </si>
  <si>
    <t>12月上财年补缴福利</t>
  </si>
  <si>
    <t>12月预提本财年1-6月补缴福利</t>
  </si>
  <si>
    <t>12月预提本财年7-12月补缴福利</t>
  </si>
  <si>
    <t>本财年7-12月实际12月补缴福利</t>
  </si>
  <si>
    <t>1月薪资</t>
  </si>
  <si>
    <t>1月福利</t>
  </si>
  <si>
    <t>1月HC</t>
  </si>
  <si>
    <t>1月上财年补缴福利</t>
  </si>
  <si>
    <t>1月预提本财年1-6月补缴福利</t>
  </si>
  <si>
    <t>2月薪资</t>
  </si>
  <si>
    <t>2月福利</t>
  </si>
  <si>
    <t>2月HC</t>
  </si>
  <si>
    <t>2月上财年补缴福利</t>
  </si>
  <si>
    <t>2月预提本财年1-6月补缴福利</t>
  </si>
  <si>
    <t>3月薪资</t>
  </si>
  <si>
    <t>3月福利</t>
  </si>
  <si>
    <t>3月HC</t>
  </si>
  <si>
    <t>3月上财年补缴福利</t>
  </si>
  <si>
    <t>3月预提本财年1-6月补缴福利</t>
  </si>
  <si>
    <t>4月薪资</t>
  </si>
  <si>
    <t>4月福利</t>
  </si>
  <si>
    <t>4月HC</t>
  </si>
  <si>
    <t>4月上财年补缴福利</t>
  </si>
  <si>
    <t>4月预提本财年1-6月补缴福利</t>
  </si>
  <si>
    <t>5月薪资</t>
  </si>
  <si>
    <t>5月福利</t>
  </si>
  <si>
    <t>5月HC</t>
  </si>
  <si>
    <t>5月上财年补缴福利</t>
  </si>
  <si>
    <t>5月预提本财年1-6月补缴福利</t>
  </si>
  <si>
    <t>6月薪资</t>
  </si>
  <si>
    <t>6月福利</t>
  </si>
  <si>
    <t>6月HC</t>
  </si>
  <si>
    <t>6月上财年补缴福利</t>
  </si>
  <si>
    <t>6月预提本财年1-6月补缴福利</t>
  </si>
  <si>
    <t>特殊调整</t>
  </si>
  <si>
    <t>薪资合计</t>
  </si>
  <si>
    <t>福利合计</t>
  </si>
  <si>
    <t>HC平均值</t>
  </si>
  <si>
    <t>部门调整</t>
  </si>
  <si>
    <t>薪资Budget</t>
  </si>
  <si>
    <t>福利Budget</t>
  </si>
  <si>
    <t>薪资差异</t>
  </si>
  <si>
    <t>福利差异</t>
  </si>
  <si>
    <t>上财年补缴福利合计</t>
  </si>
  <si>
    <t>预提本财年1-6月补缴福利合计</t>
  </si>
  <si>
    <t>预提本财年7-12月补缴福利合计</t>
  </si>
  <si>
    <t>本财年7-12月实际补缴福利合计</t>
  </si>
  <si>
    <t>调整后薪资合计</t>
  </si>
  <si>
    <t>调整后福利合计</t>
  </si>
  <si>
    <t>FY2026</t>
  </si>
  <si>
    <t>杭州</t>
  </si>
  <si>
    <t>杭州银泰</t>
  </si>
  <si>
    <t>BA</t>
  </si>
  <si>
    <t>KLFMFY2021000003</t>
  </si>
  <si>
    <t>Existing</t>
  </si>
  <si>
    <t>DS</t>
  </si>
  <si>
    <t>X</t>
  </si>
  <si>
    <t>Tier I cities</t>
  </si>
  <si>
    <t>北京</t>
  </si>
  <si>
    <t>北京新光三越</t>
  </si>
  <si>
    <t>KLFMFY2021000002</t>
  </si>
  <si>
    <t>IN77银泰</t>
  </si>
  <si>
    <t>KLFMFY2021000004</t>
  </si>
  <si>
    <t>宁波</t>
  </si>
  <si>
    <t>宁波阪急-498</t>
  </si>
  <si>
    <t>KLFMFY2023000026</t>
  </si>
  <si>
    <t>Tier II cities +</t>
  </si>
  <si>
    <t>上海</t>
  </si>
  <si>
    <t>上海国金中心</t>
  </si>
  <si>
    <t>Y</t>
  </si>
  <si>
    <t>KLFMFY2020000001</t>
  </si>
  <si>
    <t>FSS</t>
  </si>
  <si>
    <t>杭州万象城</t>
  </si>
  <si>
    <t>KLFMFY2022000013</t>
  </si>
  <si>
    <t>广州</t>
  </si>
  <si>
    <t>广州太古汇</t>
  </si>
  <si>
    <t>KLFMFY2023000022</t>
  </si>
  <si>
    <t>成都</t>
  </si>
  <si>
    <t>成都远洋太古里</t>
  </si>
  <si>
    <t>KLFMFY2023000025</t>
  </si>
  <si>
    <t>成都SKP</t>
  </si>
  <si>
    <t>KLFMFY2023000024</t>
  </si>
  <si>
    <t>武汉</t>
  </si>
  <si>
    <t>武汉SKP</t>
  </si>
  <si>
    <t>KLFMFY2023000023</t>
  </si>
  <si>
    <t>重庆</t>
  </si>
  <si>
    <t>重庆星光68</t>
  </si>
  <si>
    <t>KLFMFY2024000012</t>
  </si>
  <si>
    <t>深圳</t>
  </si>
  <si>
    <t>深圳万象天地</t>
  </si>
  <si>
    <t>KLFMFY2022000011</t>
  </si>
  <si>
    <t>南京</t>
  </si>
  <si>
    <t>南京德基</t>
  </si>
  <si>
    <t>KLFMFY2022000010</t>
  </si>
  <si>
    <t>深圳罗湖万象城</t>
  </si>
  <si>
    <t>KLFMFY2022000012</t>
  </si>
  <si>
    <t>北京三里屯</t>
  </si>
  <si>
    <t>KLFMFY2022000016</t>
  </si>
  <si>
    <t>上海前滩太古里</t>
  </si>
  <si>
    <t>KLFMFY2022000015</t>
  </si>
  <si>
    <t>contingency 柜台</t>
  </si>
  <si>
    <t>KLFMFY2022000014</t>
  </si>
  <si>
    <t>Contingency</t>
  </si>
  <si>
    <t>FY2026 新店3</t>
  </si>
  <si>
    <t>KLFMFY2026000003</t>
  </si>
  <si>
    <t>FY26 New Door</t>
  </si>
  <si>
    <t>Total:</t>
  </si>
  <si>
    <t>KL</t>
    <phoneticPr fontId="2" type="noConversion"/>
  </si>
  <si>
    <t>苏州</t>
  </si>
  <si>
    <t>苏州中心</t>
  </si>
  <si>
    <t>KLFMFY2026000002</t>
  </si>
  <si>
    <t>杭州In77KILIAN</t>
  </si>
  <si>
    <t>KLFMFY2026000005</t>
  </si>
  <si>
    <t>KL Total:</t>
  </si>
  <si>
    <t>Y</t>
    <phoneticPr fontId="2" type="noConversion"/>
  </si>
  <si>
    <t>郑州</t>
  </si>
  <si>
    <t>郑州大卫城</t>
  </si>
  <si>
    <t>KLFMFY2026000001</t>
  </si>
  <si>
    <t>杭州In77FM</t>
  </si>
  <si>
    <t>KLFMFY2026000006</t>
  </si>
  <si>
    <t>FM 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</si>
</sst>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0.0"/>
  </numFmts>
  <fonts count="6" x14ac:knownFonts="1">
    <font>
      <sz val="11"/>
      <color theme="1"/>
      <name val="等线"/>
      <family val="2"/>
      <charset val="134"/>
      <scheme val="minor"/>
    </font>
    <font>
      <b/>
      <sz val="11"/>
      <color rgb="FFF7F7F7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0"/>
      <color rgb="FFF7F7F7"/>
      <name val="等线"/>
      <family val="2"/>
      <scheme val="minor"/>
    </font>
    <font>
      <sz val="11"/>
      <color rgb="FF4A3C8C"/>
      <name val="等线"/>
      <family val="2"/>
      <charset val="134"/>
      <scheme val="minor"/>
    </font>
    <font>
      <sz val="10"/>
      <color rgb="FF4A3C8C"/>
      <name val="等线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A3C8C"/>
        <bgColor indexed="64"/>
      </patternFill>
    </fill>
    <fill>
      <patternFill patternType="solid">
        <fgColor rgb="FFE7E7FF"/>
        <bgColor indexed="64"/>
      </patternFill>
    </fill>
    <fill>
      <patternFill patternType="solid">
        <fgColor rgb="FFF7F7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/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right" vertical="center"/>
    </xf>
    <xf numFmtId="0" fontId="4" fillId="3" borderId="0" xfId="0" applyFont="1" applyFill="1"/>
    <xf numFmtId="0" fontId="5" fillId="3" borderId="0" xfId="0" applyFont="1" applyFill="1"/>
    <xf numFmtId="4" fontId="5" fillId="3" borderId="0" xfId="0" applyNumberFormat="1" applyFont="1" applyFill="1"/>
    <xf numFmtId="14" fontId="5" fillId="3" borderId="0" xfId="0" applyNumberFormat="1" applyFont="1" applyFill="1"/>
    <xf numFmtId="4" fontId="5" fillId="3" borderId="0" xfId="0" applyNumberFormat="1" applyFont="1" applyFill="1" applyAlignment="1">
      <alignment horizontal="right"/>
    </xf>
    <xf numFmtId="176" fontId="5" fillId="3" borderId="0" xfId="0" applyNumberFormat="1" applyFont="1" applyFill="1" applyAlignment="1">
      <alignment horizontal="right"/>
    </xf>
    <xf numFmtId="0" fontId="4" fillId="4" borderId="0" xfId="0" applyFont="1" applyFill="1"/>
    <xf numFmtId="0" fontId="5" fillId="4" borderId="0" xfId="0" applyFont="1" applyFill="1"/>
    <xf numFmtId="4" fontId="5" fillId="4" borderId="0" xfId="0" applyNumberFormat="1" applyFont="1" applyFill="1"/>
    <xf numFmtId="14" fontId="5" fillId="4" borderId="0" xfId="0" applyNumberFormat="1" applyFont="1" applyFill="1"/>
    <xf numFmtId="4" fontId="5" fillId="4" borderId="0" xfId="0" applyNumberFormat="1" applyFont="1" applyFill="1" applyAlignment="1">
      <alignment horizontal="righ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8C70B-40F4-47D6-AC64-91DFEEDAD93A}">
  <dimension ref="A1:DC33"/>
  <sheetViews>
    <sheetView tabSelected="1" workbookViewId="0">
      <selection activeCell="A33" sqref="A33:DC33"/>
    </sheetView>
  </sheetViews>
  <sheetFormatPr defaultRowHeight="14" x14ac:dyDescent="0.3"/>
  <sheetData>
    <row r="1" spans="1:107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3" t="s">
        <v>75</v>
      </c>
      <c r="BY1" s="3" t="s">
        <v>76</v>
      </c>
      <c r="BZ1" s="3" t="s">
        <v>77</v>
      </c>
      <c r="CA1" s="3" t="s">
        <v>78</v>
      </c>
      <c r="CB1" s="3" t="s">
        <v>79</v>
      </c>
      <c r="CC1" s="3" t="s">
        <v>80</v>
      </c>
      <c r="CD1" s="3" t="s">
        <v>81</v>
      </c>
      <c r="CE1" s="3" t="s">
        <v>82</v>
      </c>
      <c r="CF1" s="3" t="s">
        <v>83</v>
      </c>
      <c r="CG1" s="3" t="s">
        <v>84</v>
      </c>
      <c r="CH1" s="3" t="s">
        <v>85</v>
      </c>
      <c r="CI1" s="3" t="s">
        <v>86</v>
      </c>
      <c r="CJ1" s="3" t="s">
        <v>87</v>
      </c>
      <c r="CK1" s="3" t="s">
        <v>88</v>
      </c>
      <c r="CL1" s="3" t="s">
        <v>89</v>
      </c>
      <c r="CM1" s="3" t="s">
        <v>90</v>
      </c>
      <c r="CN1" s="3" t="s">
        <v>91</v>
      </c>
      <c r="CO1" s="3" t="s">
        <v>92</v>
      </c>
      <c r="CP1" s="3" t="s">
        <v>93</v>
      </c>
      <c r="CQ1" s="3" t="s">
        <v>94</v>
      </c>
      <c r="CR1" s="3" t="s">
        <v>95</v>
      </c>
      <c r="CS1" s="3" t="s">
        <v>96</v>
      </c>
      <c r="CT1" s="3" t="s">
        <v>97</v>
      </c>
      <c r="CU1" s="3" t="s">
        <v>98</v>
      </c>
      <c r="CV1" s="3" t="s">
        <v>99</v>
      </c>
      <c r="CW1" s="3" t="s">
        <v>100</v>
      </c>
      <c r="CX1" s="3" t="s">
        <v>101</v>
      </c>
      <c r="CY1" s="3" t="s">
        <v>102</v>
      </c>
      <c r="CZ1" s="3" t="s">
        <v>103</v>
      </c>
      <c r="DA1" s="3" t="s">
        <v>104</v>
      </c>
      <c r="DB1" s="3" t="s">
        <v>105</v>
      </c>
      <c r="DC1" s="3" t="s">
        <v>106</v>
      </c>
    </row>
    <row r="2" spans="1:107" x14ac:dyDescent="0.3">
      <c r="A2" s="4"/>
      <c r="B2" s="4"/>
      <c r="C2" s="5" t="s">
        <v>1</v>
      </c>
      <c r="D2" s="5" t="s">
        <v>107</v>
      </c>
      <c r="E2" s="5" t="s">
        <v>108</v>
      </c>
      <c r="F2" s="5" t="s">
        <v>109</v>
      </c>
      <c r="G2" s="5"/>
      <c r="H2" s="5">
        <v>129855</v>
      </c>
      <c r="I2" s="5">
        <v>5841813202</v>
      </c>
      <c r="J2" s="5" t="s">
        <v>110</v>
      </c>
      <c r="K2" s="5" t="s">
        <v>111</v>
      </c>
      <c r="L2" s="5" t="s">
        <v>111</v>
      </c>
      <c r="M2" s="5" t="s">
        <v>112</v>
      </c>
      <c r="N2" s="5" t="s">
        <v>113</v>
      </c>
      <c r="O2" s="6" t="s">
        <v>114</v>
      </c>
      <c r="P2" s="6" t="s">
        <v>115</v>
      </c>
      <c r="Q2" s="7"/>
      <c r="R2" s="7"/>
      <c r="S2" s="8">
        <v>0</v>
      </c>
      <c r="T2" s="8">
        <v>0</v>
      </c>
      <c r="U2" s="8">
        <v>3000</v>
      </c>
      <c r="V2" s="8">
        <v>3000</v>
      </c>
      <c r="W2" s="8">
        <v>3</v>
      </c>
      <c r="X2" s="8">
        <v>0</v>
      </c>
      <c r="Y2" s="8">
        <v>0</v>
      </c>
      <c r="Z2" s="8">
        <v>0</v>
      </c>
      <c r="AA2" s="8">
        <v>0</v>
      </c>
      <c r="AB2" s="8">
        <v>5000</v>
      </c>
      <c r="AC2" s="8">
        <v>5000</v>
      </c>
      <c r="AD2" s="8">
        <v>5</v>
      </c>
      <c r="AE2" s="8">
        <v>0</v>
      </c>
      <c r="AF2" s="8">
        <v>0</v>
      </c>
      <c r="AG2" s="8">
        <v>0</v>
      </c>
      <c r="AH2" s="8">
        <v>0</v>
      </c>
      <c r="AI2" s="8">
        <v>3000</v>
      </c>
      <c r="AJ2" s="8">
        <v>3000</v>
      </c>
      <c r="AK2" s="8">
        <v>3</v>
      </c>
      <c r="AL2" s="8">
        <v>0</v>
      </c>
      <c r="AM2" s="8">
        <v>0</v>
      </c>
      <c r="AN2" s="8">
        <v>0</v>
      </c>
      <c r="AO2" s="8">
        <v>0</v>
      </c>
      <c r="AP2" s="8">
        <v>3000</v>
      </c>
      <c r="AQ2" s="8">
        <v>3000</v>
      </c>
      <c r="AR2" s="8">
        <v>3</v>
      </c>
      <c r="AS2" s="8">
        <v>0</v>
      </c>
      <c r="AT2" s="8">
        <v>0</v>
      </c>
      <c r="AU2" s="8">
        <v>0</v>
      </c>
      <c r="AV2" s="8">
        <v>0</v>
      </c>
      <c r="AW2" s="8">
        <v>3000</v>
      </c>
      <c r="AX2" s="8">
        <v>3000</v>
      </c>
      <c r="AY2" s="8">
        <v>3</v>
      </c>
      <c r="AZ2" s="8">
        <v>605.26</v>
      </c>
      <c r="BA2" s="8">
        <v>0</v>
      </c>
      <c r="BB2" s="8">
        <v>0</v>
      </c>
      <c r="BC2" s="8">
        <v>0</v>
      </c>
      <c r="BD2" s="8">
        <v>4000</v>
      </c>
      <c r="BE2" s="8">
        <v>4000</v>
      </c>
      <c r="BF2" s="8">
        <v>4</v>
      </c>
      <c r="BG2" s="8">
        <v>0</v>
      </c>
      <c r="BH2" s="8">
        <v>0</v>
      </c>
      <c r="BI2" s="8">
        <v>0</v>
      </c>
      <c r="BJ2" s="8">
        <v>0</v>
      </c>
      <c r="BK2" s="8">
        <v>4000</v>
      </c>
      <c r="BL2" s="8">
        <v>4000</v>
      </c>
      <c r="BM2" s="8">
        <v>4</v>
      </c>
      <c r="BN2" s="8">
        <v>0</v>
      </c>
      <c r="BO2" s="8">
        <v>0</v>
      </c>
      <c r="BP2" s="8">
        <v>2000</v>
      </c>
      <c r="BQ2" s="8">
        <v>2000</v>
      </c>
      <c r="BR2" s="8">
        <v>2</v>
      </c>
      <c r="BS2" s="8">
        <v>0</v>
      </c>
      <c r="BT2" s="8">
        <v>0</v>
      </c>
      <c r="BU2" s="8">
        <v>4000</v>
      </c>
      <c r="BV2" s="8">
        <v>4000</v>
      </c>
      <c r="BW2" s="8">
        <v>4</v>
      </c>
      <c r="BX2" s="8">
        <v>0</v>
      </c>
      <c r="BY2" s="8">
        <v>0</v>
      </c>
      <c r="BZ2" s="8">
        <v>4000</v>
      </c>
      <c r="CA2" s="8">
        <v>4000</v>
      </c>
      <c r="CB2" s="8">
        <v>4</v>
      </c>
      <c r="CC2" s="8">
        <v>0</v>
      </c>
      <c r="CD2" s="8">
        <v>0</v>
      </c>
      <c r="CE2" s="8">
        <v>4000</v>
      </c>
      <c r="CF2" s="8">
        <v>4000</v>
      </c>
      <c r="CG2" s="8">
        <v>4</v>
      </c>
      <c r="CH2" s="8">
        <v>0</v>
      </c>
      <c r="CI2" s="8">
        <v>0</v>
      </c>
      <c r="CJ2" s="8">
        <v>4000</v>
      </c>
      <c r="CK2" s="8">
        <v>4000</v>
      </c>
      <c r="CL2" s="8">
        <v>4</v>
      </c>
      <c r="CM2" s="8">
        <v>0</v>
      </c>
      <c r="CN2" s="8">
        <v>0</v>
      </c>
      <c r="CO2" s="8">
        <v>0</v>
      </c>
      <c r="CP2" s="9">
        <v>43000</v>
      </c>
      <c r="CQ2" s="9">
        <v>43000</v>
      </c>
      <c r="CR2" s="8">
        <v>3.5</v>
      </c>
      <c r="CS2" s="8">
        <v>0</v>
      </c>
      <c r="CT2" s="8">
        <v>0</v>
      </c>
      <c r="CU2" s="8">
        <v>0</v>
      </c>
      <c r="CV2" s="8">
        <v>-43000</v>
      </c>
      <c r="CW2" s="8">
        <v>-43000</v>
      </c>
      <c r="CX2" s="8">
        <v>0</v>
      </c>
      <c r="CY2" s="8">
        <v>0</v>
      </c>
      <c r="CZ2" s="8">
        <v>0</v>
      </c>
      <c r="DA2" s="8">
        <v>0</v>
      </c>
      <c r="DB2" s="8">
        <v>43000</v>
      </c>
      <c r="DC2" s="8">
        <v>43000</v>
      </c>
    </row>
    <row r="3" spans="1:107" x14ac:dyDescent="0.3">
      <c r="A3" s="10"/>
      <c r="B3" s="10"/>
      <c r="C3" s="11" t="s">
        <v>1</v>
      </c>
      <c r="D3" s="11" t="s">
        <v>107</v>
      </c>
      <c r="E3" s="11" t="s">
        <v>116</v>
      </c>
      <c r="F3" s="11" t="s">
        <v>117</v>
      </c>
      <c r="G3" s="11"/>
      <c r="H3" s="11">
        <v>129915</v>
      </c>
      <c r="I3" s="11">
        <v>5841813202</v>
      </c>
      <c r="J3" s="11" t="s">
        <v>110</v>
      </c>
      <c r="K3" s="11" t="s">
        <v>118</v>
      </c>
      <c r="L3" s="11" t="s">
        <v>118</v>
      </c>
      <c r="M3" s="11" t="s">
        <v>112</v>
      </c>
      <c r="N3" s="11" t="s">
        <v>113</v>
      </c>
      <c r="O3" s="12" t="s">
        <v>114</v>
      </c>
      <c r="P3" s="12" t="s">
        <v>115</v>
      </c>
      <c r="Q3" s="13"/>
      <c r="R3" s="13"/>
      <c r="S3" s="14">
        <v>0</v>
      </c>
      <c r="T3" s="14">
        <v>0</v>
      </c>
      <c r="U3" s="8">
        <v>5000</v>
      </c>
      <c r="V3" s="8">
        <v>5000</v>
      </c>
      <c r="W3" s="14">
        <v>5</v>
      </c>
      <c r="X3" s="14">
        <v>0</v>
      </c>
      <c r="Y3" s="14">
        <v>0</v>
      </c>
      <c r="Z3" s="14">
        <v>0</v>
      </c>
      <c r="AA3" s="14">
        <v>0</v>
      </c>
      <c r="AB3" s="8">
        <v>5000</v>
      </c>
      <c r="AC3" s="8">
        <v>5000</v>
      </c>
      <c r="AD3" s="14">
        <v>5</v>
      </c>
      <c r="AE3" s="14">
        <v>0</v>
      </c>
      <c r="AF3" s="14">
        <v>0</v>
      </c>
      <c r="AG3" s="14">
        <v>0</v>
      </c>
      <c r="AH3" s="8">
        <v>0</v>
      </c>
      <c r="AI3" s="8">
        <v>5000</v>
      </c>
      <c r="AJ3" s="8">
        <v>5000</v>
      </c>
      <c r="AK3" s="14">
        <v>5</v>
      </c>
      <c r="AL3" s="14">
        <v>0</v>
      </c>
      <c r="AM3" s="14">
        <v>0</v>
      </c>
      <c r="AN3" s="14">
        <v>0</v>
      </c>
      <c r="AO3" s="8">
        <v>0</v>
      </c>
      <c r="AP3" s="8">
        <v>5000</v>
      </c>
      <c r="AQ3" s="8">
        <v>5000</v>
      </c>
      <c r="AR3" s="14">
        <v>5</v>
      </c>
      <c r="AS3" s="14">
        <v>0</v>
      </c>
      <c r="AT3" s="14">
        <v>0</v>
      </c>
      <c r="AU3" s="14">
        <v>0</v>
      </c>
      <c r="AV3" s="8">
        <v>0</v>
      </c>
      <c r="AW3" s="8">
        <v>5000</v>
      </c>
      <c r="AX3" s="8">
        <v>5000</v>
      </c>
      <c r="AY3" s="14">
        <v>5</v>
      </c>
      <c r="AZ3" s="14">
        <v>0</v>
      </c>
      <c r="BA3" s="14">
        <v>0</v>
      </c>
      <c r="BB3" s="14">
        <v>0</v>
      </c>
      <c r="BC3" s="8">
        <v>0</v>
      </c>
      <c r="BD3" s="8">
        <v>5000</v>
      </c>
      <c r="BE3" s="8">
        <v>5000</v>
      </c>
      <c r="BF3" s="14">
        <v>5</v>
      </c>
      <c r="BG3" s="14">
        <v>0</v>
      </c>
      <c r="BH3" s="14">
        <v>0</v>
      </c>
      <c r="BI3" s="14">
        <v>0</v>
      </c>
      <c r="BJ3" s="8">
        <v>0</v>
      </c>
      <c r="BK3" s="8">
        <v>5000</v>
      </c>
      <c r="BL3" s="8">
        <v>5000</v>
      </c>
      <c r="BM3" s="14">
        <v>5</v>
      </c>
      <c r="BN3" s="14">
        <v>0</v>
      </c>
      <c r="BO3" s="14">
        <v>0</v>
      </c>
      <c r="BP3" s="8">
        <v>5000</v>
      </c>
      <c r="BQ3" s="8">
        <v>5000</v>
      </c>
      <c r="BR3" s="14">
        <v>5</v>
      </c>
      <c r="BS3" s="14">
        <v>0</v>
      </c>
      <c r="BT3" s="14">
        <v>0</v>
      </c>
      <c r="BU3" s="8">
        <v>5000</v>
      </c>
      <c r="BV3" s="8">
        <v>5000</v>
      </c>
      <c r="BW3" s="14">
        <v>5</v>
      </c>
      <c r="BX3" s="14">
        <v>0</v>
      </c>
      <c r="BY3" s="14">
        <v>0</v>
      </c>
      <c r="BZ3" s="8">
        <v>5000</v>
      </c>
      <c r="CA3" s="8">
        <v>5000</v>
      </c>
      <c r="CB3" s="14">
        <v>5</v>
      </c>
      <c r="CC3" s="14">
        <v>0</v>
      </c>
      <c r="CD3" s="14">
        <v>0</v>
      </c>
      <c r="CE3" s="8">
        <v>5000</v>
      </c>
      <c r="CF3" s="8">
        <v>5000</v>
      </c>
      <c r="CG3" s="14">
        <v>5</v>
      </c>
      <c r="CH3" s="14">
        <v>0</v>
      </c>
      <c r="CI3" s="14">
        <v>0</v>
      </c>
      <c r="CJ3" s="8">
        <v>5000</v>
      </c>
      <c r="CK3" s="8">
        <v>5000</v>
      </c>
      <c r="CL3" s="14">
        <v>5</v>
      </c>
      <c r="CM3" s="14">
        <v>0</v>
      </c>
      <c r="CN3" s="14">
        <v>0</v>
      </c>
      <c r="CO3" s="14">
        <v>0</v>
      </c>
      <c r="CP3" s="9">
        <v>60000</v>
      </c>
      <c r="CQ3" s="9">
        <v>60000</v>
      </c>
      <c r="CR3" s="14">
        <v>5</v>
      </c>
      <c r="CS3" s="14">
        <v>0</v>
      </c>
      <c r="CT3" s="14">
        <v>0</v>
      </c>
      <c r="CU3" s="14">
        <v>0</v>
      </c>
      <c r="CV3" s="8">
        <v>-60000</v>
      </c>
      <c r="CW3" s="8">
        <v>-60000</v>
      </c>
      <c r="CX3" s="14">
        <v>0</v>
      </c>
      <c r="CY3" s="14">
        <v>0</v>
      </c>
      <c r="CZ3" s="14">
        <v>0</v>
      </c>
      <c r="DA3" s="14">
        <v>0</v>
      </c>
      <c r="DB3" s="8">
        <v>60000</v>
      </c>
      <c r="DC3" s="8">
        <v>60000</v>
      </c>
    </row>
    <row r="4" spans="1:107" x14ac:dyDescent="0.3">
      <c r="A4" s="4"/>
      <c r="B4" s="4"/>
      <c r="C4" s="5" t="s">
        <v>1</v>
      </c>
      <c r="D4" s="5" t="s">
        <v>107</v>
      </c>
      <c r="E4" s="5" t="s">
        <v>108</v>
      </c>
      <c r="F4" s="5" t="s">
        <v>119</v>
      </c>
      <c r="G4" s="5"/>
      <c r="H4" s="5">
        <v>363972</v>
      </c>
      <c r="I4" s="5">
        <v>5841813202</v>
      </c>
      <c r="J4" s="5" t="s">
        <v>110</v>
      </c>
      <c r="K4" s="5" t="s">
        <v>120</v>
      </c>
      <c r="L4" s="5" t="s">
        <v>120</v>
      </c>
      <c r="M4" s="5" t="s">
        <v>112</v>
      </c>
      <c r="N4" s="5" t="s">
        <v>113</v>
      </c>
      <c r="O4" s="6" t="s">
        <v>114</v>
      </c>
      <c r="P4" s="6" t="s">
        <v>115</v>
      </c>
      <c r="Q4" s="7"/>
      <c r="R4" s="7"/>
      <c r="S4" s="8">
        <v>0</v>
      </c>
      <c r="T4" s="8">
        <v>0</v>
      </c>
      <c r="U4" s="8">
        <v>5000</v>
      </c>
      <c r="V4" s="8">
        <v>5000</v>
      </c>
      <c r="W4" s="8">
        <v>5</v>
      </c>
      <c r="X4" s="8">
        <v>0</v>
      </c>
      <c r="Y4" s="8">
        <v>0</v>
      </c>
      <c r="Z4" s="8">
        <v>0</v>
      </c>
      <c r="AA4" s="8">
        <v>0</v>
      </c>
      <c r="AB4" s="8">
        <v>5000</v>
      </c>
      <c r="AC4" s="8">
        <v>5000</v>
      </c>
      <c r="AD4" s="8">
        <v>5</v>
      </c>
      <c r="AE4" s="8">
        <v>0</v>
      </c>
      <c r="AF4" s="8">
        <v>0</v>
      </c>
      <c r="AG4" s="8">
        <v>0</v>
      </c>
      <c r="AH4" s="8">
        <v>0</v>
      </c>
      <c r="AI4" s="8">
        <v>5000</v>
      </c>
      <c r="AJ4" s="8">
        <v>5000</v>
      </c>
      <c r="AK4" s="8">
        <v>5</v>
      </c>
      <c r="AL4" s="8">
        <v>0</v>
      </c>
      <c r="AM4" s="8">
        <v>0</v>
      </c>
      <c r="AN4" s="8">
        <v>0</v>
      </c>
      <c r="AO4" s="8">
        <v>0</v>
      </c>
      <c r="AP4" s="8">
        <v>5000</v>
      </c>
      <c r="AQ4" s="8">
        <v>5000</v>
      </c>
      <c r="AR4" s="8">
        <v>5</v>
      </c>
      <c r="AS4" s="8">
        <v>0</v>
      </c>
      <c r="AT4" s="8">
        <v>0</v>
      </c>
      <c r="AU4" s="8">
        <v>0</v>
      </c>
      <c r="AV4" s="8">
        <v>0</v>
      </c>
      <c r="AW4" s="8">
        <v>5000</v>
      </c>
      <c r="AX4" s="8">
        <v>5000</v>
      </c>
      <c r="AY4" s="8">
        <v>5</v>
      </c>
      <c r="AZ4" s="8">
        <v>96.01</v>
      </c>
      <c r="BA4" s="8">
        <v>0</v>
      </c>
      <c r="BB4" s="8">
        <v>0</v>
      </c>
      <c r="BC4" s="8">
        <v>0</v>
      </c>
      <c r="BD4" s="8">
        <v>6000</v>
      </c>
      <c r="BE4" s="8">
        <v>6000</v>
      </c>
      <c r="BF4" s="8">
        <v>6</v>
      </c>
      <c r="BG4" s="8">
        <v>0</v>
      </c>
      <c r="BH4" s="8">
        <v>0</v>
      </c>
      <c r="BI4" s="8">
        <v>0</v>
      </c>
      <c r="BJ4" s="8">
        <v>0</v>
      </c>
      <c r="BK4" s="8">
        <v>6000</v>
      </c>
      <c r="BL4" s="8">
        <v>6000</v>
      </c>
      <c r="BM4" s="8">
        <v>6</v>
      </c>
      <c r="BN4" s="8">
        <v>0</v>
      </c>
      <c r="BO4" s="8">
        <v>0</v>
      </c>
      <c r="BP4" s="8">
        <v>0</v>
      </c>
      <c r="BQ4" s="8">
        <v>0</v>
      </c>
      <c r="BR4" s="8">
        <v>0</v>
      </c>
      <c r="BS4" s="8">
        <v>0</v>
      </c>
      <c r="BT4" s="8">
        <v>0</v>
      </c>
      <c r="BU4" s="8">
        <v>0</v>
      </c>
      <c r="BV4" s="8">
        <v>0</v>
      </c>
      <c r="BW4" s="8">
        <v>0</v>
      </c>
      <c r="BX4" s="8">
        <v>0</v>
      </c>
      <c r="BY4" s="8">
        <v>0</v>
      </c>
      <c r="BZ4" s="8">
        <v>0</v>
      </c>
      <c r="CA4" s="8">
        <v>0</v>
      </c>
      <c r="CB4" s="8">
        <v>0</v>
      </c>
      <c r="CC4" s="8">
        <v>0</v>
      </c>
      <c r="CD4" s="8">
        <v>0</v>
      </c>
      <c r="CE4" s="8">
        <v>0</v>
      </c>
      <c r="CF4" s="8">
        <v>0</v>
      </c>
      <c r="CG4" s="8">
        <v>0</v>
      </c>
      <c r="CH4" s="8">
        <v>0</v>
      </c>
      <c r="CI4" s="8">
        <v>0</v>
      </c>
      <c r="CJ4" s="8">
        <v>0</v>
      </c>
      <c r="CK4" s="8">
        <v>0</v>
      </c>
      <c r="CL4" s="8">
        <v>0</v>
      </c>
      <c r="CM4" s="8">
        <v>0</v>
      </c>
      <c r="CN4" s="8">
        <v>0</v>
      </c>
      <c r="CO4" s="8">
        <v>0</v>
      </c>
      <c r="CP4" s="9">
        <v>37000</v>
      </c>
      <c r="CQ4" s="9">
        <v>37000</v>
      </c>
      <c r="CR4" s="8">
        <v>2.6</v>
      </c>
      <c r="CS4" s="8">
        <v>0</v>
      </c>
      <c r="CT4" s="8">
        <v>0</v>
      </c>
      <c r="CU4" s="8">
        <v>0</v>
      </c>
      <c r="CV4" s="8">
        <v>-37000</v>
      </c>
      <c r="CW4" s="8">
        <v>-37000</v>
      </c>
      <c r="CX4" s="8">
        <v>0</v>
      </c>
      <c r="CY4" s="8">
        <v>0</v>
      </c>
      <c r="CZ4" s="8">
        <v>0</v>
      </c>
      <c r="DA4" s="8">
        <v>0</v>
      </c>
      <c r="DB4" s="8">
        <v>37000</v>
      </c>
      <c r="DC4" s="8">
        <v>37000</v>
      </c>
    </row>
    <row r="5" spans="1:107" x14ac:dyDescent="0.3">
      <c r="A5" s="10"/>
      <c r="B5" s="10"/>
      <c r="C5" s="11" t="s">
        <v>1</v>
      </c>
      <c r="D5" s="11" t="s">
        <v>107</v>
      </c>
      <c r="E5" s="11" t="s">
        <v>121</v>
      </c>
      <c r="F5" s="11" t="s">
        <v>122</v>
      </c>
      <c r="G5" s="11"/>
      <c r="H5" s="11">
        <v>365477</v>
      </c>
      <c r="I5" s="11">
        <v>5841813202</v>
      </c>
      <c r="J5" s="11" t="s">
        <v>110</v>
      </c>
      <c r="K5" s="11" t="s">
        <v>123</v>
      </c>
      <c r="L5" s="11" t="s">
        <v>123</v>
      </c>
      <c r="M5" s="11" t="s">
        <v>112</v>
      </c>
      <c r="N5" s="11" t="s">
        <v>113</v>
      </c>
      <c r="O5" s="12" t="s">
        <v>114</v>
      </c>
      <c r="P5" s="12" t="s">
        <v>124</v>
      </c>
      <c r="Q5" s="13"/>
      <c r="R5" s="13"/>
      <c r="S5" s="14">
        <v>0</v>
      </c>
      <c r="T5" s="14">
        <v>0</v>
      </c>
      <c r="U5" s="8">
        <v>6000</v>
      </c>
      <c r="V5" s="8">
        <v>6000</v>
      </c>
      <c r="W5" s="14">
        <v>6</v>
      </c>
      <c r="X5" s="14">
        <v>0</v>
      </c>
      <c r="Y5" s="14">
        <v>0</v>
      </c>
      <c r="Z5" s="14">
        <v>0</v>
      </c>
      <c r="AA5" s="14">
        <v>0</v>
      </c>
      <c r="AB5" s="8">
        <v>6000</v>
      </c>
      <c r="AC5" s="8">
        <v>6000</v>
      </c>
      <c r="AD5" s="14">
        <v>6</v>
      </c>
      <c r="AE5" s="14">
        <v>0</v>
      </c>
      <c r="AF5" s="14">
        <v>0</v>
      </c>
      <c r="AG5" s="14">
        <v>0</v>
      </c>
      <c r="AH5" s="8">
        <v>0</v>
      </c>
      <c r="AI5" s="8">
        <v>6000</v>
      </c>
      <c r="AJ5" s="8">
        <v>6000</v>
      </c>
      <c r="AK5" s="14">
        <v>6</v>
      </c>
      <c r="AL5" s="14">
        <v>0</v>
      </c>
      <c r="AM5" s="14">
        <v>0</v>
      </c>
      <c r="AN5" s="14">
        <v>0</v>
      </c>
      <c r="AO5" s="8">
        <v>0</v>
      </c>
      <c r="AP5" s="8">
        <v>6000</v>
      </c>
      <c r="AQ5" s="8">
        <v>6000</v>
      </c>
      <c r="AR5" s="14">
        <v>6</v>
      </c>
      <c r="AS5" s="14">
        <v>0</v>
      </c>
      <c r="AT5" s="14">
        <v>0</v>
      </c>
      <c r="AU5" s="14">
        <v>0</v>
      </c>
      <c r="AV5" s="8">
        <v>0</v>
      </c>
      <c r="AW5" s="8">
        <v>6000</v>
      </c>
      <c r="AX5" s="8">
        <v>6000</v>
      </c>
      <c r="AY5" s="14">
        <v>6</v>
      </c>
      <c r="AZ5" s="14">
        <v>0</v>
      </c>
      <c r="BA5" s="14">
        <v>0</v>
      </c>
      <c r="BB5" s="14">
        <v>0</v>
      </c>
      <c r="BC5" s="8">
        <v>0</v>
      </c>
      <c r="BD5" s="8">
        <v>6000</v>
      </c>
      <c r="BE5" s="8">
        <v>6000</v>
      </c>
      <c r="BF5" s="14">
        <v>6</v>
      </c>
      <c r="BG5" s="14">
        <v>0</v>
      </c>
      <c r="BH5" s="14">
        <v>0</v>
      </c>
      <c r="BI5" s="14">
        <v>0</v>
      </c>
      <c r="BJ5" s="8">
        <v>0</v>
      </c>
      <c r="BK5" s="8">
        <v>6000</v>
      </c>
      <c r="BL5" s="8">
        <v>6000</v>
      </c>
      <c r="BM5" s="14">
        <v>6</v>
      </c>
      <c r="BN5" s="14">
        <v>0</v>
      </c>
      <c r="BO5" s="14">
        <v>0</v>
      </c>
      <c r="BP5" s="8">
        <v>6000</v>
      </c>
      <c r="BQ5" s="8">
        <v>6000</v>
      </c>
      <c r="BR5" s="14">
        <v>6</v>
      </c>
      <c r="BS5" s="14">
        <v>0</v>
      </c>
      <c r="BT5" s="14">
        <v>0</v>
      </c>
      <c r="BU5" s="8">
        <v>6000</v>
      </c>
      <c r="BV5" s="8">
        <v>6000</v>
      </c>
      <c r="BW5" s="14">
        <v>6</v>
      </c>
      <c r="BX5" s="14">
        <v>0</v>
      </c>
      <c r="BY5" s="14">
        <v>0</v>
      </c>
      <c r="BZ5" s="8">
        <v>6000</v>
      </c>
      <c r="CA5" s="8">
        <v>6000</v>
      </c>
      <c r="CB5" s="14">
        <v>6</v>
      </c>
      <c r="CC5" s="14">
        <v>0</v>
      </c>
      <c r="CD5" s="14">
        <v>0</v>
      </c>
      <c r="CE5" s="8">
        <v>6000</v>
      </c>
      <c r="CF5" s="8">
        <v>6000</v>
      </c>
      <c r="CG5" s="14">
        <v>6</v>
      </c>
      <c r="CH5" s="14">
        <v>0</v>
      </c>
      <c r="CI5" s="14">
        <v>0</v>
      </c>
      <c r="CJ5" s="8">
        <v>6000</v>
      </c>
      <c r="CK5" s="8">
        <v>6000</v>
      </c>
      <c r="CL5" s="14">
        <v>6</v>
      </c>
      <c r="CM5" s="14">
        <v>0</v>
      </c>
      <c r="CN5" s="14">
        <v>0</v>
      </c>
      <c r="CO5" s="14">
        <v>0</v>
      </c>
      <c r="CP5" s="9">
        <v>72000</v>
      </c>
      <c r="CQ5" s="9">
        <v>72000</v>
      </c>
      <c r="CR5" s="14">
        <v>6</v>
      </c>
      <c r="CS5" s="14">
        <v>0</v>
      </c>
      <c r="CT5" s="14">
        <v>0</v>
      </c>
      <c r="CU5" s="14">
        <v>0</v>
      </c>
      <c r="CV5" s="8">
        <v>-72000</v>
      </c>
      <c r="CW5" s="8">
        <v>-72000</v>
      </c>
      <c r="CX5" s="14">
        <v>0</v>
      </c>
      <c r="CY5" s="14">
        <v>0</v>
      </c>
      <c r="CZ5" s="14">
        <v>0</v>
      </c>
      <c r="DA5" s="14">
        <v>0</v>
      </c>
      <c r="DB5" s="8">
        <v>72000</v>
      </c>
      <c r="DC5" s="8">
        <v>72000</v>
      </c>
    </row>
    <row r="6" spans="1:107" x14ac:dyDescent="0.3">
      <c r="A6" s="4"/>
      <c r="B6" s="4"/>
      <c r="C6" s="5" t="s">
        <v>1</v>
      </c>
      <c r="D6" s="5" t="s">
        <v>107</v>
      </c>
      <c r="E6" s="5" t="s">
        <v>125</v>
      </c>
      <c r="F6" s="5" t="s">
        <v>126</v>
      </c>
      <c r="G6" s="5" t="s">
        <v>127</v>
      </c>
      <c r="H6" s="5">
        <v>36617001</v>
      </c>
      <c r="I6" s="5">
        <v>5841813202</v>
      </c>
      <c r="J6" s="5" t="s">
        <v>110</v>
      </c>
      <c r="K6" s="5" t="s">
        <v>128</v>
      </c>
      <c r="L6" s="5" t="s">
        <v>128</v>
      </c>
      <c r="M6" s="5" t="s">
        <v>112</v>
      </c>
      <c r="N6" s="5" t="s">
        <v>129</v>
      </c>
      <c r="O6" s="6" t="s">
        <v>114</v>
      </c>
      <c r="P6" s="6" t="s">
        <v>115</v>
      </c>
      <c r="Q6" s="7"/>
      <c r="R6" s="7"/>
      <c r="S6" s="8">
        <v>0</v>
      </c>
      <c r="T6" s="8">
        <v>0</v>
      </c>
      <c r="U6" s="8">
        <v>5000</v>
      </c>
      <c r="V6" s="8">
        <v>5000</v>
      </c>
      <c r="W6" s="8">
        <v>5</v>
      </c>
      <c r="X6" s="8">
        <v>0</v>
      </c>
      <c r="Y6" s="8">
        <v>0</v>
      </c>
      <c r="Z6" s="8">
        <v>0</v>
      </c>
      <c r="AA6" s="8">
        <v>0</v>
      </c>
      <c r="AB6" s="8">
        <v>5000</v>
      </c>
      <c r="AC6" s="8">
        <v>5000</v>
      </c>
      <c r="AD6" s="8">
        <v>5</v>
      </c>
      <c r="AE6" s="8">
        <v>0</v>
      </c>
      <c r="AF6" s="8">
        <v>0</v>
      </c>
      <c r="AG6" s="8">
        <v>0</v>
      </c>
      <c r="AH6" s="8">
        <v>0</v>
      </c>
      <c r="AI6" s="8">
        <v>6000</v>
      </c>
      <c r="AJ6" s="8">
        <v>6000</v>
      </c>
      <c r="AK6" s="8">
        <v>6</v>
      </c>
      <c r="AL6" s="8">
        <v>0</v>
      </c>
      <c r="AM6" s="8">
        <v>0</v>
      </c>
      <c r="AN6" s="8">
        <v>0</v>
      </c>
      <c r="AO6" s="8">
        <v>0</v>
      </c>
      <c r="AP6" s="8">
        <v>7000</v>
      </c>
      <c r="AQ6" s="8">
        <v>7000</v>
      </c>
      <c r="AR6" s="8">
        <v>7</v>
      </c>
      <c r="AS6" s="8">
        <v>0</v>
      </c>
      <c r="AT6" s="8">
        <v>0</v>
      </c>
      <c r="AU6" s="8">
        <v>0</v>
      </c>
      <c r="AV6" s="8">
        <v>0</v>
      </c>
      <c r="AW6" s="8">
        <v>6000</v>
      </c>
      <c r="AX6" s="8">
        <v>6000</v>
      </c>
      <c r="AY6" s="8">
        <v>6</v>
      </c>
      <c r="AZ6" s="8">
        <v>0</v>
      </c>
      <c r="BA6" s="8">
        <v>0</v>
      </c>
      <c r="BB6" s="8">
        <v>0</v>
      </c>
      <c r="BC6" s="8">
        <v>0</v>
      </c>
      <c r="BD6" s="8">
        <v>6000</v>
      </c>
      <c r="BE6" s="8">
        <v>6000</v>
      </c>
      <c r="BF6" s="8">
        <v>6</v>
      </c>
      <c r="BG6" s="8">
        <v>0</v>
      </c>
      <c r="BH6" s="8">
        <v>0</v>
      </c>
      <c r="BI6" s="8">
        <v>0</v>
      </c>
      <c r="BJ6" s="8">
        <v>0</v>
      </c>
      <c r="BK6" s="8">
        <v>6000</v>
      </c>
      <c r="BL6" s="8">
        <v>6000</v>
      </c>
      <c r="BM6" s="8">
        <v>6</v>
      </c>
      <c r="BN6" s="8">
        <v>0</v>
      </c>
      <c r="BO6" s="8">
        <v>0</v>
      </c>
      <c r="BP6" s="8">
        <v>5000</v>
      </c>
      <c r="BQ6" s="8">
        <v>5000</v>
      </c>
      <c r="BR6" s="8">
        <v>5</v>
      </c>
      <c r="BS6" s="8">
        <v>0</v>
      </c>
      <c r="BT6" s="8">
        <v>0</v>
      </c>
      <c r="BU6" s="8">
        <v>7000</v>
      </c>
      <c r="BV6" s="8">
        <v>7000</v>
      </c>
      <c r="BW6" s="8">
        <v>7</v>
      </c>
      <c r="BX6" s="8">
        <v>0</v>
      </c>
      <c r="BY6" s="8">
        <v>0</v>
      </c>
      <c r="BZ6" s="8">
        <v>7000</v>
      </c>
      <c r="CA6" s="8">
        <v>7000</v>
      </c>
      <c r="CB6" s="8">
        <v>7</v>
      </c>
      <c r="CC6" s="8">
        <v>0</v>
      </c>
      <c r="CD6" s="8">
        <v>0</v>
      </c>
      <c r="CE6" s="8">
        <v>7000</v>
      </c>
      <c r="CF6" s="8">
        <v>7000</v>
      </c>
      <c r="CG6" s="8">
        <v>7</v>
      </c>
      <c r="CH6" s="8">
        <v>0</v>
      </c>
      <c r="CI6" s="8">
        <v>0</v>
      </c>
      <c r="CJ6" s="8">
        <v>7000</v>
      </c>
      <c r="CK6" s="8">
        <v>7000</v>
      </c>
      <c r="CL6" s="8">
        <v>7</v>
      </c>
      <c r="CM6" s="8">
        <v>0</v>
      </c>
      <c r="CN6" s="8">
        <v>0</v>
      </c>
      <c r="CO6" s="8">
        <v>0</v>
      </c>
      <c r="CP6" s="9">
        <v>74000</v>
      </c>
      <c r="CQ6" s="9">
        <v>74000</v>
      </c>
      <c r="CR6" s="8">
        <v>6.2</v>
      </c>
      <c r="CS6" s="8">
        <v>0</v>
      </c>
      <c r="CT6" s="8">
        <v>0</v>
      </c>
      <c r="CU6" s="8">
        <v>0</v>
      </c>
      <c r="CV6" s="8">
        <v>-74000</v>
      </c>
      <c r="CW6" s="8">
        <v>-74000</v>
      </c>
      <c r="CX6" s="8">
        <v>0</v>
      </c>
      <c r="CY6" s="8">
        <v>0</v>
      </c>
      <c r="CZ6" s="8">
        <v>0</v>
      </c>
      <c r="DA6" s="8">
        <v>0</v>
      </c>
      <c r="DB6" s="8">
        <v>74000</v>
      </c>
      <c r="DC6" s="8">
        <v>74000</v>
      </c>
    </row>
    <row r="7" spans="1:107" x14ac:dyDescent="0.3">
      <c r="A7" s="10"/>
      <c r="B7" s="10"/>
      <c r="C7" s="11" t="s">
        <v>1</v>
      </c>
      <c r="D7" s="11" t="s">
        <v>107</v>
      </c>
      <c r="E7" s="11" t="s">
        <v>108</v>
      </c>
      <c r="F7" s="11" t="s">
        <v>130</v>
      </c>
      <c r="G7" s="11" t="s">
        <v>127</v>
      </c>
      <c r="H7" s="11">
        <v>36617003</v>
      </c>
      <c r="I7" s="11">
        <v>5842213202</v>
      </c>
      <c r="J7" s="11" t="s">
        <v>110</v>
      </c>
      <c r="K7" s="11" t="s">
        <v>131</v>
      </c>
      <c r="L7" s="11" t="s">
        <v>131</v>
      </c>
      <c r="M7" s="11" t="s">
        <v>112</v>
      </c>
      <c r="N7" s="11" t="s">
        <v>129</v>
      </c>
      <c r="O7" s="12" t="s">
        <v>114</v>
      </c>
      <c r="P7" s="12" t="s">
        <v>115</v>
      </c>
      <c r="Q7" s="13"/>
      <c r="R7" s="13"/>
      <c r="S7" s="14">
        <v>0</v>
      </c>
      <c r="T7" s="14">
        <v>0</v>
      </c>
      <c r="U7" s="8">
        <v>5000</v>
      </c>
      <c r="V7" s="8">
        <v>5000</v>
      </c>
      <c r="W7" s="14">
        <v>5</v>
      </c>
      <c r="X7" s="14">
        <v>0</v>
      </c>
      <c r="Y7" s="14">
        <v>0</v>
      </c>
      <c r="Z7" s="14">
        <v>0</v>
      </c>
      <c r="AA7" s="14">
        <v>0</v>
      </c>
      <c r="AB7" s="8">
        <v>5000</v>
      </c>
      <c r="AC7" s="8">
        <v>5000</v>
      </c>
      <c r="AD7" s="14">
        <v>5</v>
      </c>
      <c r="AE7" s="14">
        <v>0</v>
      </c>
      <c r="AF7" s="14">
        <v>0</v>
      </c>
      <c r="AG7" s="14">
        <v>0</v>
      </c>
      <c r="AH7" s="8">
        <v>0</v>
      </c>
      <c r="AI7" s="8">
        <v>6000</v>
      </c>
      <c r="AJ7" s="8">
        <v>6000</v>
      </c>
      <c r="AK7" s="14">
        <v>6</v>
      </c>
      <c r="AL7" s="14">
        <v>0</v>
      </c>
      <c r="AM7" s="14">
        <v>0</v>
      </c>
      <c r="AN7" s="14">
        <v>0</v>
      </c>
      <c r="AO7" s="8">
        <v>0</v>
      </c>
      <c r="AP7" s="8">
        <v>6000</v>
      </c>
      <c r="AQ7" s="8">
        <v>6000</v>
      </c>
      <c r="AR7" s="14">
        <v>6</v>
      </c>
      <c r="AS7" s="14">
        <v>0</v>
      </c>
      <c r="AT7" s="14">
        <v>0</v>
      </c>
      <c r="AU7" s="14">
        <v>0</v>
      </c>
      <c r="AV7" s="8">
        <v>0</v>
      </c>
      <c r="AW7" s="8">
        <v>6000</v>
      </c>
      <c r="AX7" s="8">
        <v>6000</v>
      </c>
      <c r="AY7" s="14">
        <v>6</v>
      </c>
      <c r="AZ7" s="14">
        <v>48.42</v>
      </c>
      <c r="BA7" s="14">
        <v>0</v>
      </c>
      <c r="BB7" s="14">
        <v>0</v>
      </c>
      <c r="BC7" s="8">
        <v>0</v>
      </c>
      <c r="BD7" s="8">
        <v>6000</v>
      </c>
      <c r="BE7" s="8">
        <v>6000</v>
      </c>
      <c r="BF7" s="14">
        <v>6</v>
      </c>
      <c r="BG7" s="14">
        <v>0</v>
      </c>
      <c r="BH7" s="14">
        <v>0</v>
      </c>
      <c r="BI7" s="14">
        <v>0</v>
      </c>
      <c r="BJ7" s="8">
        <v>0</v>
      </c>
      <c r="BK7" s="8">
        <v>6000</v>
      </c>
      <c r="BL7" s="8">
        <v>6000</v>
      </c>
      <c r="BM7" s="14">
        <v>6</v>
      </c>
      <c r="BN7" s="14">
        <v>0</v>
      </c>
      <c r="BO7" s="14">
        <v>0</v>
      </c>
      <c r="BP7" s="8">
        <v>5000</v>
      </c>
      <c r="BQ7" s="8">
        <v>5000</v>
      </c>
      <c r="BR7" s="14">
        <v>5</v>
      </c>
      <c r="BS7" s="14">
        <v>0</v>
      </c>
      <c r="BT7" s="14">
        <v>0</v>
      </c>
      <c r="BU7" s="8">
        <v>6000</v>
      </c>
      <c r="BV7" s="8">
        <v>6000</v>
      </c>
      <c r="BW7" s="14">
        <v>6</v>
      </c>
      <c r="BX7" s="14">
        <v>0</v>
      </c>
      <c r="BY7" s="14">
        <v>0</v>
      </c>
      <c r="BZ7" s="8">
        <v>6000</v>
      </c>
      <c r="CA7" s="8">
        <v>6000</v>
      </c>
      <c r="CB7" s="14">
        <v>6</v>
      </c>
      <c r="CC7" s="14">
        <v>0</v>
      </c>
      <c r="CD7" s="14">
        <v>0</v>
      </c>
      <c r="CE7" s="8">
        <v>6000</v>
      </c>
      <c r="CF7" s="8">
        <v>6000</v>
      </c>
      <c r="CG7" s="14">
        <v>6</v>
      </c>
      <c r="CH7" s="14">
        <v>0</v>
      </c>
      <c r="CI7" s="14">
        <v>0</v>
      </c>
      <c r="CJ7" s="8">
        <v>6000</v>
      </c>
      <c r="CK7" s="8">
        <v>6000</v>
      </c>
      <c r="CL7" s="14">
        <v>6</v>
      </c>
      <c r="CM7" s="14">
        <v>0</v>
      </c>
      <c r="CN7" s="14">
        <v>0</v>
      </c>
      <c r="CO7" s="14">
        <v>0</v>
      </c>
      <c r="CP7" s="9">
        <v>69000</v>
      </c>
      <c r="CQ7" s="9">
        <v>69000</v>
      </c>
      <c r="CR7" s="14">
        <v>5.7</v>
      </c>
      <c r="CS7" s="14">
        <v>0</v>
      </c>
      <c r="CT7" s="14">
        <v>0</v>
      </c>
      <c r="CU7" s="14">
        <v>0</v>
      </c>
      <c r="CV7" s="8">
        <v>-69000</v>
      </c>
      <c r="CW7" s="8">
        <v>-69000</v>
      </c>
      <c r="CX7" s="14">
        <v>0</v>
      </c>
      <c r="CY7" s="14">
        <v>0</v>
      </c>
      <c r="CZ7" s="14">
        <v>0</v>
      </c>
      <c r="DA7" s="14">
        <v>0</v>
      </c>
      <c r="DB7" s="8">
        <v>69000</v>
      </c>
      <c r="DC7" s="8">
        <v>69000</v>
      </c>
    </row>
    <row r="8" spans="1:107" x14ac:dyDescent="0.3">
      <c r="A8" s="4"/>
      <c r="B8" s="4"/>
      <c r="C8" s="5" t="s">
        <v>1</v>
      </c>
      <c r="D8" s="5" t="s">
        <v>107</v>
      </c>
      <c r="E8" s="5" t="s">
        <v>132</v>
      </c>
      <c r="F8" s="5" t="s">
        <v>133</v>
      </c>
      <c r="G8" s="5" t="s">
        <v>127</v>
      </c>
      <c r="H8" s="5">
        <v>36617006</v>
      </c>
      <c r="I8" s="5">
        <v>5842083202</v>
      </c>
      <c r="J8" s="5" t="s">
        <v>110</v>
      </c>
      <c r="K8" s="5" t="s">
        <v>134</v>
      </c>
      <c r="L8" s="5" t="s">
        <v>134</v>
      </c>
      <c r="M8" s="5" t="s">
        <v>112</v>
      </c>
      <c r="N8" s="5" t="s">
        <v>129</v>
      </c>
      <c r="O8" s="6" t="s">
        <v>114</v>
      </c>
      <c r="P8" s="6" t="s">
        <v>115</v>
      </c>
      <c r="Q8" s="7"/>
      <c r="R8" s="7"/>
      <c r="S8" s="8">
        <v>0</v>
      </c>
      <c r="T8" s="8">
        <v>0</v>
      </c>
      <c r="U8" s="8">
        <v>6000</v>
      </c>
      <c r="V8" s="8">
        <v>6000</v>
      </c>
      <c r="W8" s="8">
        <v>6</v>
      </c>
      <c r="X8" s="8">
        <v>0</v>
      </c>
      <c r="Y8" s="8">
        <v>0</v>
      </c>
      <c r="Z8" s="8">
        <v>0</v>
      </c>
      <c r="AA8" s="8">
        <v>0</v>
      </c>
      <c r="AB8" s="8">
        <v>6000</v>
      </c>
      <c r="AC8" s="8">
        <v>6000</v>
      </c>
      <c r="AD8" s="8">
        <v>6</v>
      </c>
      <c r="AE8" s="8">
        <v>0</v>
      </c>
      <c r="AF8" s="8">
        <v>0</v>
      </c>
      <c r="AG8" s="8">
        <v>0</v>
      </c>
      <c r="AH8" s="8">
        <v>0</v>
      </c>
      <c r="AI8" s="8">
        <v>6000</v>
      </c>
      <c r="AJ8" s="8">
        <v>6000</v>
      </c>
      <c r="AK8" s="8">
        <v>6</v>
      </c>
      <c r="AL8" s="8">
        <v>0</v>
      </c>
      <c r="AM8" s="8">
        <v>0</v>
      </c>
      <c r="AN8" s="8">
        <v>0</v>
      </c>
      <c r="AO8" s="8">
        <v>0</v>
      </c>
      <c r="AP8" s="8">
        <v>7000</v>
      </c>
      <c r="AQ8" s="8">
        <v>7000</v>
      </c>
      <c r="AR8" s="8">
        <v>7</v>
      </c>
      <c r="AS8" s="8">
        <v>0</v>
      </c>
      <c r="AT8" s="8">
        <v>0</v>
      </c>
      <c r="AU8" s="8">
        <v>0</v>
      </c>
      <c r="AV8" s="8">
        <v>0</v>
      </c>
      <c r="AW8" s="8">
        <v>7000</v>
      </c>
      <c r="AX8" s="8">
        <v>7000</v>
      </c>
      <c r="AY8" s="8">
        <v>7</v>
      </c>
      <c r="AZ8" s="8">
        <v>0</v>
      </c>
      <c r="BA8" s="8">
        <v>0</v>
      </c>
      <c r="BB8" s="8">
        <v>0</v>
      </c>
      <c r="BC8" s="8">
        <v>0</v>
      </c>
      <c r="BD8" s="8">
        <v>7000</v>
      </c>
      <c r="BE8" s="8">
        <v>7000</v>
      </c>
      <c r="BF8" s="8">
        <v>7</v>
      </c>
      <c r="BG8" s="8">
        <v>0</v>
      </c>
      <c r="BH8" s="8">
        <v>0</v>
      </c>
      <c r="BI8" s="8">
        <v>0</v>
      </c>
      <c r="BJ8" s="8">
        <v>0</v>
      </c>
      <c r="BK8" s="8">
        <v>7000</v>
      </c>
      <c r="BL8" s="8">
        <v>7000</v>
      </c>
      <c r="BM8" s="8">
        <v>7</v>
      </c>
      <c r="BN8" s="8">
        <v>0</v>
      </c>
      <c r="BO8" s="8">
        <v>0</v>
      </c>
      <c r="BP8" s="8">
        <v>7000</v>
      </c>
      <c r="BQ8" s="8">
        <v>7000</v>
      </c>
      <c r="BR8" s="8">
        <v>7</v>
      </c>
      <c r="BS8" s="8">
        <v>0</v>
      </c>
      <c r="BT8" s="8">
        <v>0</v>
      </c>
      <c r="BU8" s="8">
        <v>7000</v>
      </c>
      <c r="BV8" s="8">
        <v>7000</v>
      </c>
      <c r="BW8" s="8">
        <v>7</v>
      </c>
      <c r="BX8" s="8">
        <v>0</v>
      </c>
      <c r="BY8" s="8">
        <v>0</v>
      </c>
      <c r="BZ8" s="8">
        <v>7000</v>
      </c>
      <c r="CA8" s="8">
        <v>7000</v>
      </c>
      <c r="CB8" s="8">
        <v>7</v>
      </c>
      <c r="CC8" s="8">
        <v>0</v>
      </c>
      <c r="CD8" s="8">
        <v>0</v>
      </c>
      <c r="CE8" s="8">
        <v>7000</v>
      </c>
      <c r="CF8" s="8">
        <v>7000</v>
      </c>
      <c r="CG8" s="8">
        <v>7</v>
      </c>
      <c r="CH8" s="8">
        <v>0</v>
      </c>
      <c r="CI8" s="8">
        <v>0</v>
      </c>
      <c r="CJ8" s="8">
        <v>7000</v>
      </c>
      <c r="CK8" s="8">
        <v>7000</v>
      </c>
      <c r="CL8" s="8">
        <v>7</v>
      </c>
      <c r="CM8" s="8">
        <v>0</v>
      </c>
      <c r="CN8" s="8">
        <v>0</v>
      </c>
      <c r="CO8" s="8">
        <v>0</v>
      </c>
      <c r="CP8" s="9">
        <v>81000</v>
      </c>
      <c r="CQ8" s="9">
        <v>81000</v>
      </c>
      <c r="CR8" s="8">
        <v>6.8</v>
      </c>
      <c r="CS8" s="8">
        <v>0</v>
      </c>
      <c r="CT8" s="8">
        <v>0</v>
      </c>
      <c r="CU8" s="8">
        <v>0</v>
      </c>
      <c r="CV8" s="8">
        <v>-81000</v>
      </c>
      <c r="CW8" s="8">
        <v>-81000</v>
      </c>
      <c r="CX8" s="8">
        <v>0</v>
      </c>
      <c r="CY8" s="8">
        <v>0</v>
      </c>
      <c r="CZ8" s="8">
        <v>0</v>
      </c>
      <c r="DA8" s="8">
        <v>0</v>
      </c>
      <c r="DB8" s="8">
        <v>81000</v>
      </c>
      <c r="DC8" s="8">
        <v>81000</v>
      </c>
    </row>
    <row r="9" spans="1:107" x14ac:dyDescent="0.3">
      <c r="A9" s="10"/>
      <c r="B9" s="10"/>
      <c r="C9" s="11" t="s">
        <v>1</v>
      </c>
      <c r="D9" s="11" t="s">
        <v>107</v>
      </c>
      <c r="E9" s="11" t="s">
        <v>135</v>
      </c>
      <c r="F9" s="11" t="s">
        <v>136</v>
      </c>
      <c r="G9" s="11" t="s">
        <v>127</v>
      </c>
      <c r="H9" s="11">
        <v>36617009</v>
      </c>
      <c r="I9" s="11">
        <v>5841993202</v>
      </c>
      <c r="J9" s="11" t="s">
        <v>110</v>
      </c>
      <c r="K9" s="11" t="s">
        <v>137</v>
      </c>
      <c r="L9" s="11" t="s">
        <v>137</v>
      </c>
      <c r="M9" s="11" t="s">
        <v>112</v>
      </c>
      <c r="N9" s="11" t="s">
        <v>129</v>
      </c>
      <c r="O9" s="12" t="s">
        <v>114</v>
      </c>
      <c r="P9" s="12" t="s">
        <v>115</v>
      </c>
      <c r="Q9" s="13"/>
      <c r="R9" s="13"/>
      <c r="S9" s="14">
        <v>0</v>
      </c>
      <c r="T9" s="14">
        <v>0</v>
      </c>
      <c r="U9" s="8">
        <v>7000</v>
      </c>
      <c r="V9" s="8">
        <v>7000</v>
      </c>
      <c r="W9" s="14">
        <v>7</v>
      </c>
      <c r="X9" s="14">
        <v>0</v>
      </c>
      <c r="Y9" s="14">
        <v>0</v>
      </c>
      <c r="Z9" s="14">
        <v>0</v>
      </c>
      <c r="AA9" s="14">
        <v>0</v>
      </c>
      <c r="AB9" s="8">
        <v>7000</v>
      </c>
      <c r="AC9" s="8">
        <v>7000</v>
      </c>
      <c r="AD9" s="14">
        <v>7</v>
      </c>
      <c r="AE9" s="14">
        <v>0</v>
      </c>
      <c r="AF9" s="14">
        <v>0</v>
      </c>
      <c r="AG9" s="14">
        <v>0</v>
      </c>
      <c r="AH9" s="8">
        <v>0</v>
      </c>
      <c r="AI9" s="8">
        <v>7000</v>
      </c>
      <c r="AJ9" s="8">
        <v>7000</v>
      </c>
      <c r="AK9" s="14">
        <v>7</v>
      </c>
      <c r="AL9" s="14">
        <v>0</v>
      </c>
      <c r="AM9" s="14">
        <v>0</v>
      </c>
      <c r="AN9" s="14">
        <v>0</v>
      </c>
      <c r="AO9" s="8">
        <v>0</v>
      </c>
      <c r="AP9" s="8">
        <v>7000</v>
      </c>
      <c r="AQ9" s="8">
        <v>7000</v>
      </c>
      <c r="AR9" s="14">
        <v>7</v>
      </c>
      <c r="AS9" s="14">
        <v>0</v>
      </c>
      <c r="AT9" s="14">
        <v>0</v>
      </c>
      <c r="AU9" s="14">
        <v>0</v>
      </c>
      <c r="AV9" s="8">
        <v>0</v>
      </c>
      <c r="AW9" s="8">
        <v>7000</v>
      </c>
      <c r="AX9" s="8">
        <v>7000</v>
      </c>
      <c r="AY9" s="14">
        <v>7</v>
      </c>
      <c r="AZ9" s="14">
        <v>0</v>
      </c>
      <c r="BA9" s="14">
        <v>0</v>
      </c>
      <c r="BB9" s="14">
        <v>0</v>
      </c>
      <c r="BC9" s="8">
        <v>0</v>
      </c>
      <c r="BD9" s="8">
        <v>7000</v>
      </c>
      <c r="BE9" s="8">
        <v>7000</v>
      </c>
      <c r="BF9" s="14">
        <v>7</v>
      </c>
      <c r="BG9" s="14">
        <v>0</v>
      </c>
      <c r="BH9" s="14">
        <v>0</v>
      </c>
      <c r="BI9" s="14">
        <v>0</v>
      </c>
      <c r="BJ9" s="8">
        <v>0</v>
      </c>
      <c r="BK9" s="8">
        <v>7000</v>
      </c>
      <c r="BL9" s="8">
        <v>7000</v>
      </c>
      <c r="BM9" s="14">
        <v>7</v>
      </c>
      <c r="BN9" s="14">
        <v>0</v>
      </c>
      <c r="BO9" s="14">
        <v>0</v>
      </c>
      <c r="BP9" s="8">
        <v>7000</v>
      </c>
      <c r="BQ9" s="8">
        <v>7000</v>
      </c>
      <c r="BR9" s="14">
        <v>7</v>
      </c>
      <c r="BS9" s="14">
        <v>0</v>
      </c>
      <c r="BT9" s="14">
        <v>0</v>
      </c>
      <c r="BU9" s="8">
        <v>7000</v>
      </c>
      <c r="BV9" s="8">
        <v>7000</v>
      </c>
      <c r="BW9" s="14">
        <v>7</v>
      </c>
      <c r="BX9" s="14">
        <v>0</v>
      </c>
      <c r="BY9" s="14">
        <v>0</v>
      </c>
      <c r="BZ9" s="8">
        <v>7000</v>
      </c>
      <c r="CA9" s="8">
        <v>7000</v>
      </c>
      <c r="CB9" s="14">
        <v>7</v>
      </c>
      <c r="CC9" s="14">
        <v>0</v>
      </c>
      <c r="CD9" s="14">
        <v>0</v>
      </c>
      <c r="CE9" s="8">
        <v>7000</v>
      </c>
      <c r="CF9" s="8">
        <v>7000</v>
      </c>
      <c r="CG9" s="14">
        <v>7</v>
      </c>
      <c r="CH9" s="14">
        <v>0</v>
      </c>
      <c r="CI9" s="14">
        <v>0</v>
      </c>
      <c r="CJ9" s="8">
        <v>7000</v>
      </c>
      <c r="CK9" s="8">
        <v>7000</v>
      </c>
      <c r="CL9" s="14">
        <v>7</v>
      </c>
      <c r="CM9" s="14">
        <v>0</v>
      </c>
      <c r="CN9" s="14">
        <v>0</v>
      </c>
      <c r="CO9" s="14">
        <v>0</v>
      </c>
      <c r="CP9" s="9">
        <v>84000</v>
      </c>
      <c r="CQ9" s="9">
        <v>84000</v>
      </c>
      <c r="CR9" s="14">
        <v>7.1</v>
      </c>
      <c r="CS9" s="14">
        <v>0</v>
      </c>
      <c r="CT9" s="14">
        <v>0</v>
      </c>
      <c r="CU9" s="14">
        <v>0</v>
      </c>
      <c r="CV9" s="8">
        <v>-84000</v>
      </c>
      <c r="CW9" s="8">
        <v>-84000</v>
      </c>
      <c r="CX9" s="14">
        <v>0</v>
      </c>
      <c r="CY9" s="14">
        <v>0</v>
      </c>
      <c r="CZ9" s="14">
        <v>0</v>
      </c>
      <c r="DA9" s="14">
        <v>0</v>
      </c>
      <c r="DB9" s="8">
        <v>84000</v>
      </c>
      <c r="DC9" s="8">
        <v>84000</v>
      </c>
    </row>
    <row r="10" spans="1:107" x14ac:dyDescent="0.3">
      <c r="A10" s="4"/>
      <c r="B10" s="4"/>
      <c r="C10" s="5" t="s">
        <v>1</v>
      </c>
      <c r="D10" s="5" t="s">
        <v>107</v>
      </c>
      <c r="E10" s="5" t="s">
        <v>135</v>
      </c>
      <c r="F10" s="5" t="s">
        <v>138</v>
      </c>
      <c r="G10" s="5"/>
      <c r="H10" s="5">
        <v>370316</v>
      </c>
      <c r="I10" s="5">
        <v>5841813202</v>
      </c>
      <c r="J10" s="5" t="s">
        <v>110</v>
      </c>
      <c r="K10" s="5" t="s">
        <v>139</v>
      </c>
      <c r="L10" s="5" t="s">
        <v>139</v>
      </c>
      <c r="M10" s="5" t="s">
        <v>112</v>
      </c>
      <c r="N10" s="5" t="s">
        <v>113</v>
      </c>
      <c r="O10" s="6" t="s">
        <v>114</v>
      </c>
      <c r="P10" s="6" t="s">
        <v>115</v>
      </c>
      <c r="Q10" s="7"/>
      <c r="R10" s="7"/>
      <c r="S10" s="8">
        <v>0</v>
      </c>
      <c r="T10" s="8">
        <v>0</v>
      </c>
      <c r="U10" s="8">
        <v>4000</v>
      </c>
      <c r="V10" s="8">
        <v>4000</v>
      </c>
      <c r="W10" s="8">
        <v>4</v>
      </c>
      <c r="X10" s="8">
        <v>0</v>
      </c>
      <c r="Y10" s="8">
        <v>0</v>
      </c>
      <c r="Z10" s="8">
        <v>0</v>
      </c>
      <c r="AA10" s="8">
        <v>0</v>
      </c>
      <c r="AB10" s="8">
        <v>4000</v>
      </c>
      <c r="AC10" s="8">
        <v>4000</v>
      </c>
      <c r="AD10" s="8">
        <v>4</v>
      </c>
      <c r="AE10" s="8">
        <v>0</v>
      </c>
      <c r="AF10" s="8">
        <v>0</v>
      </c>
      <c r="AG10" s="8">
        <v>0</v>
      </c>
      <c r="AH10" s="8">
        <v>0</v>
      </c>
      <c r="AI10" s="8">
        <v>4000</v>
      </c>
      <c r="AJ10" s="8">
        <v>4000</v>
      </c>
      <c r="AK10" s="8">
        <v>4</v>
      </c>
      <c r="AL10" s="8">
        <v>0</v>
      </c>
      <c r="AM10" s="8">
        <v>0</v>
      </c>
      <c r="AN10" s="8">
        <v>0</v>
      </c>
      <c r="AO10" s="8">
        <v>0</v>
      </c>
      <c r="AP10" s="8">
        <v>4000</v>
      </c>
      <c r="AQ10" s="8">
        <v>4000</v>
      </c>
      <c r="AR10" s="8">
        <v>4</v>
      </c>
      <c r="AS10" s="8">
        <v>0</v>
      </c>
      <c r="AT10" s="8">
        <v>0</v>
      </c>
      <c r="AU10" s="8">
        <v>0</v>
      </c>
      <c r="AV10" s="8">
        <v>0</v>
      </c>
      <c r="AW10" s="8">
        <v>4000</v>
      </c>
      <c r="AX10" s="8">
        <v>4000</v>
      </c>
      <c r="AY10" s="8">
        <v>4</v>
      </c>
      <c r="AZ10" s="8">
        <v>0</v>
      </c>
      <c r="BA10" s="8">
        <v>0</v>
      </c>
      <c r="BB10" s="8">
        <v>0</v>
      </c>
      <c r="BC10" s="8">
        <v>0</v>
      </c>
      <c r="BD10" s="8">
        <v>4000</v>
      </c>
      <c r="BE10" s="8">
        <v>4000</v>
      </c>
      <c r="BF10" s="8">
        <v>4</v>
      </c>
      <c r="BG10" s="8">
        <v>0</v>
      </c>
      <c r="BH10" s="8">
        <v>0</v>
      </c>
      <c r="BI10" s="8">
        <v>0</v>
      </c>
      <c r="BJ10" s="8">
        <v>0</v>
      </c>
      <c r="BK10" s="8">
        <v>4000</v>
      </c>
      <c r="BL10" s="8">
        <v>4000</v>
      </c>
      <c r="BM10" s="8">
        <v>4</v>
      </c>
      <c r="BN10" s="8">
        <v>0</v>
      </c>
      <c r="BO10" s="8">
        <v>0</v>
      </c>
      <c r="BP10" s="8">
        <v>4000</v>
      </c>
      <c r="BQ10" s="8">
        <v>4000</v>
      </c>
      <c r="BR10" s="8">
        <v>4</v>
      </c>
      <c r="BS10" s="8">
        <v>0</v>
      </c>
      <c r="BT10" s="8">
        <v>0</v>
      </c>
      <c r="BU10" s="8">
        <v>4000</v>
      </c>
      <c r="BV10" s="8">
        <v>4000</v>
      </c>
      <c r="BW10" s="8">
        <v>4</v>
      </c>
      <c r="BX10" s="8">
        <v>0</v>
      </c>
      <c r="BY10" s="8">
        <v>0</v>
      </c>
      <c r="BZ10" s="8">
        <v>4000</v>
      </c>
      <c r="CA10" s="8">
        <v>4000</v>
      </c>
      <c r="CB10" s="8">
        <v>4</v>
      </c>
      <c r="CC10" s="8">
        <v>0</v>
      </c>
      <c r="CD10" s="8">
        <v>0</v>
      </c>
      <c r="CE10" s="8">
        <v>4000</v>
      </c>
      <c r="CF10" s="8">
        <v>4000</v>
      </c>
      <c r="CG10" s="8">
        <v>4</v>
      </c>
      <c r="CH10" s="8">
        <v>0</v>
      </c>
      <c r="CI10" s="8">
        <v>0</v>
      </c>
      <c r="CJ10" s="8">
        <v>4000</v>
      </c>
      <c r="CK10" s="8">
        <v>4000</v>
      </c>
      <c r="CL10" s="8">
        <v>4</v>
      </c>
      <c r="CM10" s="8">
        <v>0</v>
      </c>
      <c r="CN10" s="8">
        <v>0</v>
      </c>
      <c r="CO10" s="8">
        <v>0</v>
      </c>
      <c r="CP10" s="9">
        <v>48000</v>
      </c>
      <c r="CQ10" s="9">
        <v>48000</v>
      </c>
      <c r="CR10" s="8">
        <v>4</v>
      </c>
      <c r="CS10" s="8">
        <v>0</v>
      </c>
      <c r="CT10" s="8">
        <v>0</v>
      </c>
      <c r="CU10" s="8">
        <v>0</v>
      </c>
      <c r="CV10" s="8">
        <v>-48000</v>
      </c>
      <c r="CW10" s="8">
        <v>-48000</v>
      </c>
      <c r="CX10" s="8">
        <v>0</v>
      </c>
      <c r="CY10" s="8">
        <v>0</v>
      </c>
      <c r="CZ10" s="8">
        <v>0</v>
      </c>
      <c r="DA10" s="8">
        <v>0</v>
      </c>
      <c r="DB10" s="8">
        <v>48000</v>
      </c>
      <c r="DC10" s="8">
        <v>48000</v>
      </c>
    </row>
    <row r="11" spans="1:107" x14ac:dyDescent="0.3">
      <c r="A11" s="10"/>
      <c r="B11" s="10"/>
      <c r="C11" s="11" t="s">
        <v>1</v>
      </c>
      <c r="D11" s="11" t="s">
        <v>107</v>
      </c>
      <c r="E11" s="11" t="s">
        <v>140</v>
      </c>
      <c r="F11" s="11" t="s">
        <v>141</v>
      </c>
      <c r="G11" s="11"/>
      <c r="H11" s="11">
        <v>375725</v>
      </c>
      <c r="I11" s="11">
        <v>5841813202</v>
      </c>
      <c r="J11" s="11" t="s">
        <v>110</v>
      </c>
      <c r="K11" s="11" t="s">
        <v>142</v>
      </c>
      <c r="L11" s="11" t="s">
        <v>142</v>
      </c>
      <c r="M11" s="11" t="s">
        <v>112</v>
      </c>
      <c r="N11" s="11" t="s">
        <v>113</v>
      </c>
      <c r="O11" s="12" t="s">
        <v>114</v>
      </c>
      <c r="P11" s="12"/>
      <c r="Q11" s="13"/>
      <c r="R11" s="13"/>
      <c r="S11" s="14">
        <v>0</v>
      </c>
      <c r="T11" s="14">
        <v>0</v>
      </c>
      <c r="U11" s="8">
        <v>5000</v>
      </c>
      <c r="V11" s="8">
        <v>5000</v>
      </c>
      <c r="W11" s="14">
        <v>5</v>
      </c>
      <c r="X11" s="14">
        <v>0</v>
      </c>
      <c r="Y11" s="14">
        <v>0</v>
      </c>
      <c r="Z11" s="14">
        <v>0</v>
      </c>
      <c r="AA11" s="14">
        <v>0</v>
      </c>
      <c r="AB11" s="8">
        <v>5000</v>
      </c>
      <c r="AC11" s="8">
        <v>5000</v>
      </c>
      <c r="AD11" s="14">
        <v>5</v>
      </c>
      <c r="AE11" s="14">
        <v>0</v>
      </c>
      <c r="AF11" s="14">
        <v>0</v>
      </c>
      <c r="AG11" s="14">
        <v>0</v>
      </c>
      <c r="AH11" s="8">
        <v>0</v>
      </c>
      <c r="AI11" s="8">
        <v>5000</v>
      </c>
      <c r="AJ11" s="8">
        <v>5000</v>
      </c>
      <c r="AK11" s="14">
        <v>5</v>
      </c>
      <c r="AL11" s="14">
        <v>0</v>
      </c>
      <c r="AM11" s="14">
        <v>0</v>
      </c>
      <c r="AN11" s="14">
        <v>0</v>
      </c>
      <c r="AO11" s="8">
        <v>0</v>
      </c>
      <c r="AP11" s="8">
        <v>5000</v>
      </c>
      <c r="AQ11" s="8">
        <v>5000</v>
      </c>
      <c r="AR11" s="14">
        <v>5</v>
      </c>
      <c r="AS11" s="14">
        <v>0</v>
      </c>
      <c r="AT11" s="14">
        <v>0</v>
      </c>
      <c r="AU11" s="14">
        <v>0</v>
      </c>
      <c r="AV11" s="8">
        <v>0</v>
      </c>
      <c r="AW11" s="8">
        <v>5000</v>
      </c>
      <c r="AX11" s="8">
        <v>5000</v>
      </c>
      <c r="AY11" s="14">
        <v>5</v>
      </c>
      <c r="AZ11" s="14">
        <v>0</v>
      </c>
      <c r="BA11" s="14">
        <v>0</v>
      </c>
      <c r="BB11" s="14">
        <v>0</v>
      </c>
      <c r="BC11" s="8">
        <v>0</v>
      </c>
      <c r="BD11" s="8">
        <v>5000</v>
      </c>
      <c r="BE11" s="8">
        <v>5000</v>
      </c>
      <c r="BF11" s="14">
        <v>5</v>
      </c>
      <c r="BG11" s="14">
        <v>0</v>
      </c>
      <c r="BH11" s="14">
        <v>0</v>
      </c>
      <c r="BI11" s="14">
        <v>0</v>
      </c>
      <c r="BJ11" s="8">
        <v>0</v>
      </c>
      <c r="BK11" s="8">
        <v>5000</v>
      </c>
      <c r="BL11" s="8">
        <v>5000</v>
      </c>
      <c r="BM11" s="14">
        <v>5</v>
      </c>
      <c r="BN11" s="14">
        <v>0</v>
      </c>
      <c r="BO11" s="14">
        <v>0</v>
      </c>
      <c r="BP11" s="8">
        <v>5000</v>
      </c>
      <c r="BQ11" s="8">
        <v>5000</v>
      </c>
      <c r="BR11" s="14">
        <v>5</v>
      </c>
      <c r="BS11" s="14">
        <v>0</v>
      </c>
      <c r="BT11" s="14">
        <v>0</v>
      </c>
      <c r="BU11" s="8">
        <v>5000</v>
      </c>
      <c r="BV11" s="8">
        <v>5000</v>
      </c>
      <c r="BW11" s="14">
        <v>5</v>
      </c>
      <c r="BX11" s="14">
        <v>0</v>
      </c>
      <c r="BY11" s="14">
        <v>0</v>
      </c>
      <c r="BZ11" s="8">
        <v>5000</v>
      </c>
      <c r="CA11" s="8">
        <v>5000</v>
      </c>
      <c r="CB11" s="14">
        <v>5</v>
      </c>
      <c r="CC11" s="14">
        <v>0</v>
      </c>
      <c r="CD11" s="14">
        <v>0</v>
      </c>
      <c r="CE11" s="8">
        <v>5000</v>
      </c>
      <c r="CF11" s="8">
        <v>5000</v>
      </c>
      <c r="CG11" s="14">
        <v>5</v>
      </c>
      <c r="CH11" s="14">
        <v>0</v>
      </c>
      <c r="CI11" s="14">
        <v>0</v>
      </c>
      <c r="CJ11" s="8">
        <v>5000</v>
      </c>
      <c r="CK11" s="8">
        <v>5000</v>
      </c>
      <c r="CL11" s="14">
        <v>5</v>
      </c>
      <c r="CM11" s="14">
        <v>0</v>
      </c>
      <c r="CN11" s="14">
        <v>0</v>
      </c>
      <c r="CO11" s="14">
        <v>0</v>
      </c>
      <c r="CP11" s="9">
        <v>60000</v>
      </c>
      <c r="CQ11" s="9">
        <v>60000</v>
      </c>
      <c r="CR11" s="14">
        <v>5</v>
      </c>
      <c r="CS11" s="14">
        <v>0</v>
      </c>
      <c r="CT11" s="14">
        <v>0</v>
      </c>
      <c r="CU11" s="14">
        <v>0</v>
      </c>
      <c r="CV11" s="8">
        <v>-60000</v>
      </c>
      <c r="CW11" s="8">
        <v>-60000</v>
      </c>
      <c r="CX11" s="14">
        <v>0</v>
      </c>
      <c r="CY11" s="14">
        <v>0</v>
      </c>
      <c r="CZ11" s="14">
        <v>0</v>
      </c>
      <c r="DA11" s="14">
        <v>0</v>
      </c>
      <c r="DB11" s="8">
        <v>60000</v>
      </c>
      <c r="DC11" s="8">
        <v>60000</v>
      </c>
    </row>
    <row r="12" spans="1:107" x14ac:dyDescent="0.3">
      <c r="A12" s="4"/>
      <c r="B12" s="4"/>
      <c r="C12" s="5" t="s">
        <v>1</v>
      </c>
      <c r="D12" s="5" t="s">
        <v>107</v>
      </c>
      <c r="E12" s="5" t="s">
        <v>143</v>
      </c>
      <c r="F12" s="5" t="s">
        <v>144</v>
      </c>
      <c r="G12" s="5"/>
      <c r="H12" s="5">
        <v>375953</v>
      </c>
      <c r="I12" s="5">
        <v>5841813202</v>
      </c>
      <c r="J12" s="5" t="s">
        <v>110</v>
      </c>
      <c r="K12" s="5" t="s">
        <v>145</v>
      </c>
      <c r="L12" s="5" t="s">
        <v>145</v>
      </c>
      <c r="M12" s="5" t="s">
        <v>112</v>
      </c>
      <c r="N12" s="5" t="s">
        <v>113</v>
      </c>
      <c r="O12" s="6" t="s">
        <v>114</v>
      </c>
      <c r="P12" s="6"/>
      <c r="Q12" s="7"/>
      <c r="R12" s="7"/>
      <c r="S12" s="8">
        <v>0</v>
      </c>
      <c r="T12" s="8">
        <v>0</v>
      </c>
      <c r="U12" s="8">
        <v>4000</v>
      </c>
      <c r="V12" s="8">
        <v>4000</v>
      </c>
      <c r="W12" s="8">
        <v>4</v>
      </c>
      <c r="X12" s="8">
        <v>0</v>
      </c>
      <c r="Y12" s="8">
        <v>0</v>
      </c>
      <c r="Z12" s="8">
        <v>0</v>
      </c>
      <c r="AA12" s="8">
        <v>0</v>
      </c>
      <c r="AB12" s="8">
        <v>4000</v>
      </c>
      <c r="AC12" s="8">
        <v>4000</v>
      </c>
      <c r="AD12" s="8">
        <v>4</v>
      </c>
      <c r="AE12" s="8">
        <v>0</v>
      </c>
      <c r="AF12" s="8">
        <v>0</v>
      </c>
      <c r="AG12" s="8">
        <v>0</v>
      </c>
      <c r="AH12" s="8">
        <v>0</v>
      </c>
      <c r="AI12" s="8">
        <v>4000</v>
      </c>
      <c r="AJ12" s="8">
        <v>4000</v>
      </c>
      <c r="AK12" s="8">
        <v>4</v>
      </c>
      <c r="AL12" s="8">
        <v>0</v>
      </c>
      <c r="AM12" s="8">
        <v>0</v>
      </c>
      <c r="AN12" s="8">
        <v>0</v>
      </c>
      <c r="AO12" s="8">
        <v>0</v>
      </c>
      <c r="AP12" s="8">
        <v>4000</v>
      </c>
      <c r="AQ12" s="8">
        <v>4000</v>
      </c>
      <c r="AR12" s="8">
        <v>4</v>
      </c>
      <c r="AS12" s="8">
        <v>0</v>
      </c>
      <c r="AT12" s="8">
        <v>0</v>
      </c>
      <c r="AU12" s="8">
        <v>0</v>
      </c>
      <c r="AV12" s="8">
        <v>0</v>
      </c>
      <c r="AW12" s="8">
        <v>4000</v>
      </c>
      <c r="AX12" s="8">
        <v>4000</v>
      </c>
      <c r="AY12" s="8">
        <v>4</v>
      </c>
      <c r="AZ12" s="8">
        <v>68.319999999999993</v>
      </c>
      <c r="BA12" s="8">
        <v>0</v>
      </c>
      <c r="BB12" s="8">
        <v>0</v>
      </c>
      <c r="BC12" s="8">
        <v>0</v>
      </c>
      <c r="BD12" s="8">
        <v>4000</v>
      </c>
      <c r="BE12" s="8">
        <v>4000</v>
      </c>
      <c r="BF12" s="8">
        <v>4</v>
      </c>
      <c r="BG12" s="8">
        <v>0</v>
      </c>
      <c r="BH12" s="8">
        <v>0</v>
      </c>
      <c r="BI12" s="8">
        <v>0</v>
      </c>
      <c r="BJ12" s="8">
        <v>0</v>
      </c>
      <c r="BK12" s="8">
        <v>4000</v>
      </c>
      <c r="BL12" s="8">
        <v>4000</v>
      </c>
      <c r="BM12" s="8">
        <v>4</v>
      </c>
      <c r="BN12" s="8">
        <v>0</v>
      </c>
      <c r="BO12" s="8">
        <v>0</v>
      </c>
      <c r="BP12" s="8">
        <v>4000</v>
      </c>
      <c r="BQ12" s="8">
        <v>4000</v>
      </c>
      <c r="BR12" s="8">
        <v>4</v>
      </c>
      <c r="BS12" s="8">
        <v>0</v>
      </c>
      <c r="BT12" s="8">
        <v>0</v>
      </c>
      <c r="BU12" s="8">
        <v>4000</v>
      </c>
      <c r="BV12" s="8">
        <v>4000</v>
      </c>
      <c r="BW12" s="8">
        <v>4</v>
      </c>
      <c r="BX12" s="8">
        <v>0</v>
      </c>
      <c r="BY12" s="8">
        <v>0</v>
      </c>
      <c r="BZ12" s="8">
        <v>4000</v>
      </c>
      <c r="CA12" s="8">
        <v>4000</v>
      </c>
      <c r="CB12" s="8">
        <v>4</v>
      </c>
      <c r="CC12" s="8">
        <v>0</v>
      </c>
      <c r="CD12" s="8">
        <v>0</v>
      </c>
      <c r="CE12" s="8">
        <v>4000</v>
      </c>
      <c r="CF12" s="8">
        <v>4000</v>
      </c>
      <c r="CG12" s="8">
        <v>4</v>
      </c>
      <c r="CH12" s="8">
        <v>0</v>
      </c>
      <c r="CI12" s="8">
        <v>0</v>
      </c>
      <c r="CJ12" s="8">
        <v>4000</v>
      </c>
      <c r="CK12" s="8">
        <v>4000</v>
      </c>
      <c r="CL12" s="8">
        <v>4</v>
      </c>
      <c r="CM12" s="8">
        <v>0</v>
      </c>
      <c r="CN12" s="8">
        <v>0</v>
      </c>
      <c r="CO12" s="8">
        <v>0</v>
      </c>
      <c r="CP12" s="9">
        <v>48000</v>
      </c>
      <c r="CQ12" s="9">
        <v>48000</v>
      </c>
      <c r="CR12" s="8">
        <v>4</v>
      </c>
      <c r="CS12" s="8">
        <v>0</v>
      </c>
      <c r="CT12" s="8">
        <v>0</v>
      </c>
      <c r="CU12" s="8">
        <v>0</v>
      </c>
      <c r="CV12" s="8">
        <v>-48000</v>
      </c>
      <c r="CW12" s="8">
        <v>-48000</v>
      </c>
      <c r="CX12" s="8">
        <v>0</v>
      </c>
      <c r="CY12" s="8">
        <v>0</v>
      </c>
      <c r="CZ12" s="8">
        <v>0</v>
      </c>
      <c r="DA12" s="8">
        <v>0</v>
      </c>
      <c r="DB12" s="8">
        <v>48000</v>
      </c>
      <c r="DC12" s="8">
        <v>48000</v>
      </c>
    </row>
    <row r="13" spans="1:107" x14ac:dyDescent="0.3">
      <c r="A13" s="10"/>
      <c r="B13" s="10"/>
      <c r="C13" s="11" t="s">
        <v>1</v>
      </c>
      <c r="D13" s="11" t="s">
        <v>107</v>
      </c>
      <c r="E13" s="11" t="s">
        <v>146</v>
      </c>
      <c r="F13" s="11" t="s">
        <v>147</v>
      </c>
      <c r="G13" s="11" t="s">
        <v>127</v>
      </c>
      <c r="H13" s="11">
        <v>38617002</v>
      </c>
      <c r="I13" s="11">
        <v>5842283202</v>
      </c>
      <c r="J13" s="11" t="s">
        <v>110</v>
      </c>
      <c r="K13" s="11" t="s">
        <v>148</v>
      </c>
      <c r="L13" s="11" t="s">
        <v>148</v>
      </c>
      <c r="M13" s="11" t="s">
        <v>112</v>
      </c>
      <c r="N13" s="11" t="s">
        <v>129</v>
      </c>
      <c r="O13" s="12" t="s">
        <v>114</v>
      </c>
      <c r="P13" s="12" t="s">
        <v>115</v>
      </c>
      <c r="Q13" s="13"/>
      <c r="R13" s="13"/>
      <c r="S13" s="14">
        <v>0</v>
      </c>
      <c r="T13" s="14">
        <v>0</v>
      </c>
      <c r="U13" s="8">
        <v>6000</v>
      </c>
      <c r="V13" s="8">
        <v>6000</v>
      </c>
      <c r="W13" s="14">
        <v>6</v>
      </c>
      <c r="X13" s="14">
        <v>0</v>
      </c>
      <c r="Y13" s="14">
        <v>0</v>
      </c>
      <c r="Z13" s="14">
        <v>0</v>
      </c>
      <c r="AA13" s="14">
        <v>0</v>
      </c>
      <c r="AB13" s="8">
        <v>6000</v>
      </c>
      <c r="AC13" s="8">
        <v>6000</v>
      </c>
      <c r="AD13" s="14">
        <v>6</v>
      </c>
      <c r="AE13" s="14">
        <v>0</v>
      </c>
      <c r="AF13" s="14">
        <v>0</v>
      </c>
      <c r="AG13" s="14">
        <v>0</v>
      </c>
      <c r="AH13" s="8">
        <v>0</v>
      </c>
      <c r="AI13" s="8">
        <v>5000</v>
      </c>
      <c r="AJ13" s="8">
        <v>5000</v>
      </c>
      <c r="AK13" s="14">
        <v>5</v>
      </c>
      <c r="AL13" s="14">
        <v>0</v>
      </c>
      <c r="AM13" s="14">
        <v>0</v>
      </c>
      <c r="AN13" s="14">
        <v>0</v>
      </c>
      <c r="AO13" s="8">
        <v>0</v>
      </c>
      <c r="AP13" s="8">
        <v>8000</v>
      </c>
      <c r="AQ13" s="8">
        <v>8000</v>
      </c>
      <c r="AR13" s="14">
        <v>8</v>
      </c>
      <c r="AS13" s="14">
        <v>0</v>
      </c>
      <c r="AT13" s="14">
        <v>0</v>
      </c>
      <c r="AU13" s="14">
        <v>0</v>
      </c>
      <c r="AV13" s="8">
        <v>0</v>
      </c>
      <c r="AW13" s="8">
        <v>8000</v>
      </c>
      <c r="AX13" s="8">
        <v>8000</v>
      </c>
      <c r="AY13" s="14">
        <v>8</v>
      </c>
      <c r="AZ13" s="14">
        <v>0</v>
      </c>
      <c r="BA13" s="14">
        <v>0</v>
      </c>
      <c r="BB13" s="14">
        <v>0</v>
      </c>
      <c r="BC13" s="8">
        <v>0</v>
      </c>
      <c r="BD13" s="8">
        <v>8000</v>
      </c>
      <c r="BE13" s="8">
        <v>8000</v>
      </c>
      <c r="BF13" s="14">
        <v>8</v>
      </c>
      <c r="BG13" s="14">
        <v>0</v>
      </c>
      <c r="BH13" s="14">
        <v>0</v>
      </c>
      <c r="BI13" s="14">
        <v>0</v>
      </c>
      <c r="BJ13" s="8">
        <v>0</v>
      </c>
      <c r="BK13" s="8">
        <v>8000</v>
      </c>
      <c r="BL13" s="8">
        <v>8000</v>
      </c>
      <c r="BM13" s="14">
        <v>8</v>
      </c>
      <c r="BN13" s="14">
        <v>0</v>
      </c>
      <c r="BO13" s="14">
        <v>0</v>
      </c>
      <c r="BP13" s="8">
        <v>8000</v>
      </c>
      <c r="BQ13" s="8">
        <v>8000</v>
      </c>
      <c r="BR13" s="14">
        <v>8</v>
      </c>
      <c r="BS13" s="14">
        <v>0</v>
      </c>
      <c r="BT13" s="14">
        <v>0</v>
      </c>
      <c r="BU13" s="8">
        <v>8000</v>
      </c>
      <c r="BV13" s="8">
        <v>8000</v>
      </c>
      <c r="BW13" s="14">
        <v>8</v>
      </c>
      <c r="BX13" s="14">
        <v>0</v>
      </c>
      <c r="BY13" s="14">
        <v>0</v>
      </c>
      <c r="BZ13" s="8">
        <v>8000</v>
      </c>
      <c r="CA13" s="8">
        <v>8000</v>
      </c>
      <c r="CB13" s="14">
        <v>8</v>
      </c>
      <c r="CC13" s="14">
        <v>0</v>
      </c>
      <c r="CD13" s="14">
        <v>0</v>
      </c>
      <c r="CE13" s="8">
        <v>8000</v>
      </c>
      <c r="CF13" s="8">
        <v>8000</v>
      </c>
      <c r="CG13" s="14">
        <v>8</v>
      </c>
      <c r="CH13" s="14">
        <v>0</v>
      </c>
      <c r="CI13" s="14">
        <v>0</v>
      </c>
      <c r="CJ13" s="8">
        <v>8000</v>
      </c>
      <c r="CK13" s="8">
        <v>8000</v>
      </c>
      <c r="CL13" s="14">
        <v>8</v>
      </c>
      <c r="CM13" s="14">
        <v>0</v>
      </c>
      <c r="CN13" s="14">
        <v>0</v>
      </c>
      <c r="CO13" s="14">
        <v>0</v>
      </c>
      <c r="CP13" s="9">
        <v>89000</v>
      </c>
      <c r="CQ13" s="9">
        <v>89000</v>
      </c>
      <c r="CR13" s="14">
        <v>7.4</v>
      </c>
      <c r="CS13" s="14">
        <v>0</v>
      </c>
      <c r="CT13" s="14">
        <v>0</v>
      </c>
      <c r="CU13" s="14">
        <v>0</v>
      </c>
      <c r="CV13" s="8">
        <v>-89000</v>
      </c>
      <c r="CW13" s="8">
        <v>-89000</v>
      </c>
      <c r="CX13" s="14">
        <v>0</v>
      </c>
      <c r="CY13" s="14">
        <v>0</v>
      </c>
      <c r="CZ13" s="14">
        <v>0</v>
      </c>
      <c r="DA13" s="14">
        <v>0</v>
      </c>
      <c r="DB13" s="8">
        <v>89000</v>
      </c>
      <c r="DC13" s="8">
        <v>89000</v>
      </c>
    </row>
    <row r="14" spans="1:107" x14ac:dyDescent="0.3">
      <c r="A14" s="4"/>
      <c r="B14" s="4"/>
      <c r="C14" s="5" t="s">
        <v>1</v>
      </c>
      <c r="D14" s="5" t="s">
        <v>107</v>
      </c>
      <c r="E14" s="5" t="s">
        <v>149</v>
      </c>
      <c r="F14" s="5" t="s">
        <v>150</v>
      </c>
      <c r="G14" s="5"/>
      <c r="H14" s="5">
        <v>38617004</v>
      </c>
      <c r="I14" s="5">
        <v>5841813202</v>
      </c>
      <c r="J14" s="5" t="s">
        <v>110</v>
      </c>
      <c r="K14" s="5" t="s">
        <v>151</v>
      </c>
      <c r="L14" s="5" t="s">
        <v>151</v>
      </c>
      <c r="M14" s="5" t="s">
        <v>112</v>
      </c>
      <c r="N14" s="5" t="s">
        <v>129</v>
      </c>
      <c r="O14" s="6" t="s">
        <v>114</v>
      </c>
      <c r="P14" s="6" t="s">
        <v>115</v>
      </c>
      <c r="Q14" s="7"/>
      <c r="R14" s="7"/>
      <c r="S14" s="8">
        <v>0</v>
      </c>
      <c r="T14" s="8">
        <v>0</v>
      </c>
      <c r="U14" s="8">
        <v>4000</v>
      </c>
      <c r="V14" s="8">
        <v>4000</v>
      </c>
      <c r="W14" s="8">
        <v>4</v>
      </c>
      <c r="X14" s="8">
        <v>0</v>
      </c>
      <c r="Y14" s="8">
        <v>0</v>
      </c>
      <c r="Z14" s="8">
        <v>0</v>
      </c>
      <c r="AA14" s="8">
        <v>0</v>
      </c>
      <c r="AB14" s="8">
        <v>7000</v>
      </c>
      <c r="AC14" s="8">
        <v>7000</v>
      </c>
      <c r="AD14" s="8">
        <v>7</v>
      </c>
      <c r="AE14" s="8">
        <v>0</v>
      </c>
      <c r="AF14" s="8">
        <v>0</v>
      </c>
      <c r="AG14" s="8">
        <v>0</v>
      </c>
      <c r="AH14" s="8">
        <v>0</v>
      </c>
      <c r="AI14" s="8">
        <v>6000</v>
      </c>
      <c r="AJ14" s="8">
        <v>6000</v>
      </c>
      <c r="AK14" s="8">
        <v>6</v>
      </c>
      <c r="AL14" s="8">
        <v>0</v>
      </c>
      <c r="AM14" s="8">
        <v>0</v>
      </c>
      <c r="AN14" s="8">
        <v>0</v>
      </c>
      <c r="AO14" s="8">
        <v>0</v>
      </c>
      <c r="AP14" s="8">
        <v>6000</v>
      </c>
      <c r="AQ14" s="8">
        <v>6000</v>
      </c>
      <c r="AR14" s="8">
        <v>6</v>
      </c>
      <c r="AS14" s="8">
        <v>0</v>
      </c>
      <c r="AT14" s="8">
        <v>0</v>
      </c>
      <c r="AU14" s="8">
        <v>0</v>
      </c>
      <c r="AV14" s="8">
        <v>0</v>
      </c>
      <c r="AW14" s="8">
        <v>6000</v>
      </c>
      <c r="AX14" s="8">
        <v>6000</v>
      </c>
      <c r="AY14" s="8">
        <v>6</v>
      </c>
      <c r="AZ14" s="8">
        <v>0</v>
      </c>
      <c r="BA14" s="8">
        <v>0</v>
      </c>
      <c r="BB14" s="8">
        <v>0</v>
      </c>
      <c r="BC14" s="8">
        <v>0</v>
      </c>
      <c r="BD14" s="8">
        <v>8000</v>
      </c>
      <c r="BE14" s="8">
        <v>8000</v>
      </c>
      <c r="BF14" s="8">
        <v>8</v>
      </c>
      <c r="BG14" s="8">
        <v>0</v>
      </c>
      <c r="BH14" s="8">
        <v>0</v>
      </c>
      <c r="BI14" s="8">
        <v>0</v>
      </c>
      <c r="BJ14" s="8">
        <v>0</v>
      </c>
      <c r="BK14" s="8">
        <v>8000</v>
      </c>
      <c r="BL14" s="8">
        <v>8000</v>
      </c>
      <c r="BM14" s="8">
        <v>8</v>
      </c>
      <c r="BN14" s="8">
        <v>0</v>
      </c>
      <c r="BO14" s="8">
        <v>0</v>
      </c>
      <c r="BP14" s="8">
        <v>7000</v>
      </c>
      <c r="BQ14" s="8">
        <v>7000</v>
      </c>
      <c r="BR14" s="8">
        <v>7</v>
      </c>
      <c r="BS14" s="8">
        <v>0</v>
      </c>
      <c r="BT14" s="8">
        <v>0</v>
      </c>
      <c r="BU14" s="8">
        <v>5000</v>
      </c>
      <c r="BV14" s="8">
        <v>5000</v>
      </c>
      <c r="BW14" s="8">
        <v>5</v>
      </c>
      <c r="BX14" s="8">
        <v>0</v>
      </c>
      <c r="BY14" s="8">
        <v>0</v>
      </c>
      <c r="BZ14" s="8">
        <v>5000</v>
      </c>
      <c r="CA14" s="8">
        <v>5000</v>
      </c>
      <c r="CB14" s="8">
        <v>5</v>
      </c>
      <c r="CC14" s="8">
        <v>0</v>
      </c>
      <c r="CD14" s="8">
        <v>0</v>
      </c>
      <c r="CE14" s="8">
        <v>5000</v>
      </c>
      <c r="CF14" s="8">
        <v>5000</v>
      </c>
      <c r="CG14" s="8">
        <v>5</v>
      </c>
      <c r="CH14" s="8">
        <v>0</v>
      </c>
      <c r="CI14" s="8">
        <v>0</v>
      </c>
      <c r="CJ14" s="8">
        <v>5000</v>
      </c>
      <c r="CK14" s="8">
        <v>5000</v>
      </c>
      <c r="CL14" s="8">
        <v>5</v>
      </c>
      <c r="CM14" s="8">
        <v>0</v>
      </c>
      <c r="CN14" s="8">
        <v>0</v>
      </c>
      <c r="CO14" s="8">
        <v>0</v>
      </c>
      <c r="CP14" s="9">
        <v>72000</v>
      </c>
      <c r="CQ14" s="9">
        <v>72000</v>
      </c>
      <c r="CR14" s="8">
        <v>6</v>
      </c>
      <c r="CS14" s="8">
        <v>0</v>
      </c>
      <c r="CT14" s="8">
        <v>0</v>
      </c>
      <c r="CU14" s="8">
        <v>0</v>
      </c>
      <c r="CV14" s="8">
        <v>-72000</v>
      </c>
      <c r="CW14" s="8">
        <v>-72000</v>
      </c>
      <c r="CX14" s="8">
        <v>0</v>
      </c>
      <c r="CY14" s="8">
        <v>0</v>
      </c>
      <c r="CZ14" s="8">
        <v>0</v>
      </c>
      <c r="DA14" s="8">
        <v>0</v>
      </c>
      <c r="DB14" s="8">
        <v>72000</v>
      </c>
      <c r="DC14" s="8">
        <v>72000</v>
      </c>
    </row>
    <row r="15" spans="1:107" x14ac:dyDescent="0.3">
      <c r="A15" s="10"/>
      <c r="B15" s="10"/>
      <c r="C15" s="11" t="s">
        <v>1</v>
      </c>
      <c r="D15" s="11" t="s">
        <v>107</v>
      </c>
      <c r="E15" s="11" t="s">
        <v>146</v>
      </c>
      <c r="F15" s="11" t="s">
        <v>152</v>
      </c>
      <c r="G15" s="11"/>
      <c r="H15" s="11">
        <v>38617005</v>
      </c>
      <c r="I15" s="11">
        <v>5841843202</v>
      </c>
      <c r="J15" s="11" t="s">
        <v>110</v>
      </c>
      <c r="K15" s="11" t="s">
        <v>153</v>
      </c>
      <c r="L15" s="11" t="s">
        <v>153</v>
      </c>
      <c r="M15" s="11" t="s">
        <v>112</v>
      </c>
      <c r="N15" s="11" t="s">
        <v>129</v>
      </c>
      <c r="O15" s="12" t="s">
        <v>114</v>
      </c>
      <c r="P15" s="12" t="s">
        <v>115</v>
      </c>
      <c r="Q15" s="13"/>
      <c r="R15" s="13"/>
      <c r="S15" s="14">
        <v>0</v>
      </c>
      <c r="T15" s="14">
        <v>0</v>
      </c>
      <c r="U15" s="8">
        <v>3000</v>
      </c>
      <c r="V15" s="8">
        <v>3000</v>
      </c>
      <c r="W15" s="14">
        <v>3</v>
      </c>
      <c r="X15" s="14">
        <v>0</v>
      </c>
      <c r="Y15" s="14">
        <v>0</v>
      </c>
      <c r="Z15" s="14">
        <v>0</v>
      </c>
      <c r="AA15" s="14">
        <v>0</v>
      </c>
      <c r="AB15" s="8">
        <v>3000</v>
      </c>
      <c r="AC15" s="8">
        <v>3000</v>
      </c>
      <c r="AD15" s="14">
        <v>3</v>
      </c>
      <c r="AE15" s="14">
        <v>0</v>
      </c>
      <c r="AF15" s="14">
        <v>0</v>
      </c>
      <c r="AG15" s="14">
        <v>0</v>
      </c>
      <c r="AH15" s="8">
        <v>0</v>
      </c>
      <c r="AI15" s="8">
        <v>3000</v>
      </c>
      <c r="AJ15" s="8">
        <v>3000</v>
      </c>
      <c r="AK15" s="14">
        <v>3</v>
      </c>
      <c r="AL15" s="14">
        <v>0</v>
      </c>
      <c r="AM15" s="14">
        <v>0</v>
      </c>
      <c r="AN15" s="14">
        <v>0</v>
      </c>
      <c r="AO15" s="8">
        <v>0</v>
      </c>
      <c r="AP15" s="8">
        <v>3000</v>
      </c>
      <c r="AQ15" s="8">
        <v>3000</v>
      </c>
      <c r="AR15" s="14">
        <v>3</v>
      </c>
      <c r="AS15" s="14">
        <v>0</v>
      </c>
      <c r="AT15" s="14">
        <v>0</v>
      </c>
      <c r="AU15" s="14">
        <v>0</v>
      </c>
      <c r="AV15" s="8">
        <v>0</v>
      </c>
      <c r="AW15" s="8">
        <v>3000</v>
      </c>
      <c r="AX15" s="8">
        <v>3000</v>
      </c>
      <c r="AY15" s="14">
        <v>3</v>
      </c>
      <c r="AZ15" s="14">
        <v>0</v>
      </c>
      <c r="BA15" s="14">
        <v>0</v>
      </c>
      <c r="BB15" s="14">
        <v>0</v>
      </c>
      <c r="BC15" s="8">
        <v>0</v>
      </c>
      <c r="BD15" s="8">
        <v>3000</v>
      </c>
      <c r="BE15" s="8">
        <v>3000</v>
      </c>
      <c r="BF15" s="14">
        <v>3</v>
      </c>
      <c r="BG15" s="14">
        <v>0</v>
      </c>
      <c r="BH15" s="14">
        <v>0</v>
      </c>
      <c r="BI15" s="14">
        <v>0</v>
      </c>
      <c r="BJ15" s="8">
        <v>0</v>
      </c>
      <c r="BK15" s="8">
        <v>3000</v>
      </c>
      <c r="BL15" s="8">
        <v>3000</v>
      </c>
      <c r="BM15" s="14">
        <v>3</v>
      </c>
      <c r="BN15" s="14">
        <v>0</v>
      </c>
      <c r="BO15" s="14">
        <v>0</v>
      </c>
      <c r="BP15" s="8">
        <v>3000</v>
      </c>
      <c r="BQ15" s="8">
        <v>3000</v>
      </c>
      <c r="BR15" s="14">
        <v>3</v>
      </c>
      <c r="BS15" s="14">
        <v>0</v>
      </c>
      <c r="BT15" s="14">
        <v>0</v>
      </c>
      <c r="BU15" s="8">
        <v>4000</v>
      </c>
      <c r="BV15" s="8">
        <v>4000</v>
      </c>
      <c r="BW15" s="14">
        <v>4</v>
      </c>
      <c r="BX15" s="14">
        <v>0</v>
      </c>
      <c r="BY15" s="14">
        <v>0</v>
      </c>
      <c r="BZ15" s="8">
        <v>4000</v>
      </c>
      <c r="CA15" s="8">
        <v>4000</v>
      </c>
      <c r="CB15" s="14">
        <v>4</v>
      </c>
      <c r="CC15" s="14">
        <v>0</v>
      </c>
      <c r="CD15" s="14">
        <v>0</v>
      </c>
      <c r="CE15" s="8">
        <v>4000</v>
      </c>
      <c r="CF15" s="8">
        <v>4000</v>
      </c>
      <c r="CG15" s="14">
        <v>4</v>
      </c>
      <c r="CH15" s="14">
        <v>0</v>
      </c>
      <c r="CI15" s="14">
        <v>0</v>
      </c>
      <c r="CJ15" s="8">
        <v>4000</v>
      </c>
      <c r="CK15" s="8">
        <v>4000</v>
      </c>
      <c r="CL15" s="14">
        <v>4</v>
      </c>
      <c r="CM15" s="14">
        <v>0</v>
      </c>
      <c r="CN15" s="14">
        <v>0</v>
      </c>
      <c r="CO15" s="14">
        <v>0</v>
      </c>
      <c r="CP15" s="9">
        <v>40000</v>
      </c>
      <c r="CQ15" s="9">
        <v>40000</v>
      </c>
      <c r="CR15" s="14">
        <v>3.3</v>
      </c>
      <c r="CS15" s="14">
        <v>0</v>
      </c>
      <c r="CT15" s="14">
        <v>0</v>
      </c>
      <c r="CU15" s="14">
        <v>0</v>
      </c>
      <c r="CV15" s="8">
        <v>-40000</v>
      </c>
      <c r="CW15" s="8">
        <v>-40000</v>
      </c>
      <c r="CX15" s="14">
        <v>0</v>
      </c>
      <c r="CY15" s="14">
        <v>0</v>
      </c>
      <c r="CZ15" s="14">
        <v>0</v>
      </c>
      <c r="DA15" s="14">
        <v>0</v>
      </c>
      <c r="DB15" s="8">
        <v>40000</v>
      </c>
      <c r="DC15" s="8">
        <v>40000</v>
      </c>
    </row>
    <row r="16" spans="1:107" x14ac:dyDescent="0.3">
      <c r="A16" s="4"/>
      <c r="B16" s="4"/>
      <c r="C16" s="5" t="s">
        <v>1</v>
      </c>
      <c r="D16" s="5" t="s">
        <v>107</v>
      </c>
      <c r="E16" s="5" t="s">
        <v>116</v>
      </c>
      <c r="F16" s="5" t="s">
        <v>154</v>
      </c>
      <c r="G16" s="5" t="s">
        <v>127</v>
      </c>
      <c r="H16" s="5">
        <v>38617007</v>
      </c>
      <c r="I16" s="5">
        <v>5842073202</v>
      </c>
      <c r="J16" s="5" t="s">
        <v>110</v>
      </c>
      <c r="K16" s="5" t="s">
        <v>155</v>
      </c>
      <c r="L16" s="5" t="s">
        <v>155</v>
      </c>
      <c r="M16" s="5" t="s">
        <v>112</v>
      </c>
      <c r="N16" s="5" t="s">
        <v>129</v>
      </c>
      <c r="O16" s="6" t="s">
        <v>114</v>
      </c>
      <c r="P16" s="6" t="s">
        <v>115</v>
      </c>
      <c r="Q16" s="7"/>
      <c r="R16" s="7"/>
      <c r="S16" s="8">
        <v>0</v>
      </c>
      <c r="T16" s="8">
        <v>0</v>
      </c>
      <c r="U16" s="8">
        <v>6000</v>
      </c>
      <c r="V16" s="8">
        <v>6000</v>
      </c>
      <c r="W16" s="8">
        <v>6</v>
      </c>
      <c r="X16" s="8">
        <v>0</v>
      </c>
      <c r="Y16" s="8">
        <v>0</v>
      </c>
      <c r="Z16" s="8">
        <v>0</v>
      </c>
      <c r="AA16" s="8">
        <v>0</v>
      </c>
      <c r="AB16" s="8">
        <v>6000</v>
      </c>
      <c r="AC16" s="8">
        <v>6000</v>
      </c>
      <c r="AD16" s="8">
        <v>6</v>
      </c>
      <c r="AE16" s="8">
        <v>0</v>
      </c>
      <c r="AF16" s="8">
        <v>0</v>
      </c>
      <c r="AG16" s="8">
        <v>0</v>
      </c>
      <c r="AH16" s="8">
        <v>0</v>
      </c>
      <c r="AI16" s="8">
        <v>6000</v>
      </c>
      <c r="AJ16" s="8">
        <v>6000</v>
      </c>
      <c r="AK16" s="8">
        <v>6</v>
      </c>
      <c r="AL16" s="8">
        <v>0</v>
      </c>
      <c r="AM16" s="8">
        <v>0</v>
      </c>
      <c r="AN16" s="8">
        <v>0</v>
      </c>
      <c r="AO16" s="8">
        <v>0</v>
      </c>
      <c r="AP16" s="8">
        <v>6000</v>
      </c>
      <c r="AQ16" s="8">
        <v>6000</v>
      </c>
      <c r="AR16" s="8">
        <v>6</v>
      </c>
      <c r="AS16" s="8">
        <v>0</v>
      </c>
      <c r="AT16" s="8">
        <v>0</v>
      </c>
      <c r="AU16" s="8">
        <v>0</v>
      </c>
      <c r="AV16" s="8">
        <v>0</v>
      </c>
      <c r="AW16" s="8">
        <v>6000</v>
      </c>
      <c r="AX16" s="8">
        <v>6000</v>
      </c>
      <c r="AY16" s="8">
        <v>6</v>
      </c>
      <c r="AZ16" s="8">
        <v>0</v>
      </c>
      <c r="BA16" s="8">
        <v>0</v>
      </c>
      <c r="BB16" s="8">
        <v>0</v>
      </c>
      <c r="BC16" s="8">
        <v>0</v>
      </c>
      <c r="BD16" s="8">
        <v>6000</v>
      </c>
      <c r="BE16" s="8">
        <v>6000</v>
      </c>
      <c r="BF16" s="8">
        <v>6</v>
      </c>
      <c r="BG16" s="8">
        <v>0</v>
      </c>
      <c r="BH16" s="8">
        <v>0</v>
      </c>
      <c r="BI16" s="8">
        <v>0</v>
      </c>
      <c r="BJ16" s="8">
        <v>0</v>
      </c>
      <c r="BK16" s="8">
        <v>6000</v>
      </c>
      <c r="BL16" s="8">
        <v>6000</v>
      </c>
      <c r="BM16" s="8">
        <v>6</v>
      </c>
      <c r="BN16" s="8">
        <v>0</v>
      </c>
      <c r="BO16" s="8">
        <v>0</v>
      </c>
      <c r="BP16" s="8">
        <v>6000</v>
      </c>
      <c r="BQ16" s="8">
        <v>6000</v>
      </c>
      <c r="BR16" s="8">
        <v>6</v>
      </c>
      <c r="BS16" s="8">
        <v>0</v>
      </c>
      <c r="BT16" s="8">
        <v>0</v>
      </c>
      <c r="BU16" s="8">
        <v>6000</v>
      </c>
      <c r="BV16" s="8">
        <v>6000</v>
      </c>
      <c r="BW16" s="8">
        <v>6</v>
      </c>
      <c r="BX16" s="8">
        <v>0</v>
      </c>
      <c r="BY16" s="8">
        <v>0</v>
      </c>
      <c r="BZ16" s="8">
        <v>6000</v>
      </c>
      <c r="CA16" s="8">
        <v>6000</v>
      </c>
      <c r="CB16" s="8">
        <v>6</v>
      </c>
      <c r="CC16" s="8">
        <v>0</v>
      </c>
      <c r="CD16" s="8">
        <v>0</v>
      </c>
      <c r="CE16" s="8">
        <v>6000</v>
      </c>
      <c r="CF16" s="8">
        <v>6000</v>
      </c>
      <c r="CG16" s="8">
        <v>6</v>
      </c>
      <c r="CH16" s="8">
        <v>0</v>
      </c>
      <c r="CI16" s="8">
        <v>0</v>
      </c>
      <c r="CJ16" s="8">
        <v>6000</v>
      </c>
      <c r="CK16" s="8">
        <v>6000</v>
      </c>
      <c r="CL16" s="8">
        <v>6</v>
      </c>
      <c r="CM16" s="8">
        <v>0</v>
      </c>
      <c r="CN16" s="8">
        <v>0</v>
      </c>
      <c r="CO16" s="8">
        <v>0</v>
      </c>
      <c r="CP16" s="9">
        <v>72000</v>
      </c>
      <c r="CQ16" s="9">
        <v>72000</v>
      </c>
      <c r="CR16" s="8">
        <v>6</v>
      </c>
      <c r="CS16" s="8">
        <v>0</v>
      </c>
      <c r="CT16" s="8">
        <v>0</v>
      </c>
      <c r="CU16" s="8">
        <v>0</v>
      </c>
      <c r="CV16" s="8">
        <v>-72000</v>
      </c>
      <c r="CW16" s="8">
        <v>-72000</v>
      </c>
      <c r="CX16" s="8">
        <v>0</v>
      </c>
      <c r="CY16" s="8">
        <v>0</v>
      </c>
      <c r="CZ16" s="8">
        <v>0</v>
      </c>
      <c r="DA16" s="8">
        <v>0</v>
      </c>
      <c r="DB16" s="8">
        <v>72000</v>
      </c>
      <c r="DC16" s="8">
        <v>72000</v>
      </c>
    </row>
    <row r="17" spans="1:107" x14ac:dyDescent="0.3">
      <c r="A17" s="10"/>
      <c r="B17" s="10"/>
      <c r="C17" s="11" t="s">
        <v>1</v>
      </c>
      <c r="D17" s="11" t="s">
        <v>107</v>
      </c>
      <c r="E17" s="11" t="s">
        <v>125</v>
      </c>
      <c r="F17" s="11" t="s">
        <v>156</v>
      </c>
      <c r="G17" s="11"/>
      <c r="H17" s="11">
        <v>38617008</v>
      </c>
      <c r="I17" s="11">
        <v>5841813202</v>
      </c>
      <c r="J17" s="11" t="s">
        <v>110</v>
      </c>
      <c r="K17" s="11" t="s">
        <v>157</v>
      </c>
      <c r="L17" s="11" t="s">
        <v>157</v>
      </c>
      <c r="M17" s="11" t="s">
        <v>112</v>
      </c>
      <c r="N17" s="11" t="s">
        <v>129</v>
      </c>
      <c r="O17" s="12" t="s">
        <v>114</v>
      </c>
      <c r="P17" s="12" t="s">
        <v>115</v>
      </c>
      <c r="Q17" s="13"/>
      <c r="R17" s="13"/>
      <c r="S17" s="14">
        <v>0</v>
      </c>
      <c r="T17" s="14">
        <v>0</v>
      </c>
      <c r="U17" s="8">
        <v>4000</v>
      </c>
      <c r="V17" s="8">
        <v>4000</v>
      </c>
      <c r="W17" s="14">
        <v>4</v>
      </c>
      <c r="X17" s="14">
        <v>0</v>
      </c>
      <c r="Y17" s="14">
        <v>0</v>
      </c>
      <c r="Z17" s="14">
        <v>0</v>
      </c>
      <c r="AA17" s="14">
        <v>0</v>
      </c>
      <c r="AB17" s="8">
        <v>4000</v>
      </c>
      <c r="AC17" s="8">
        <v>4000</v>
      </c>
      <c r="AD17" s="14">
        <v>4</v>
      </c>
      <c r="AE17" s="14">
        <v>0</v>
      </c>
      <c r="AF17" s="14">
        <v>0</v>
      </c>
      <c r="AG17" s="14">
        <v>0</v>
      </c>
      <c r="AH17" s="8">
        <v>0</v>
      </c>
      <c r="AI17" s="8">
        <v>4000</v>
      </c>
      <c r="AJ17" s="8">
        <v>4000</v>
      </c>
      <c r="AK17" s="14">
        <v>4</v>
      </c>
      <c r="AL17" s="14">
        <v>0</v>
      </c>
      <c r="AM17" s="14">
        <v>0</v>
      </c>
      <c r="AN17" s="14">
        <v>0</v>
      </c>
      <c r="AO17" s="8">
        <v>0</v>
      </c>
      <c r="AP17" s="8">
        <v>4000</v>
      </c>
      <c r="AQ17" s="8">
        <v>4000</v>
      </c>
      <c r="AR17" s="14">
        <v>4</v>
      </c>
      <c r="AS17" s="14">
        <v>0</v>
      </c>
      <c r="AT17" s="14">
        <v>0</v>
      </c>
      <c r="AU17" s="14">
        <v>0</v>
      </c>
      <c r="AV17" s="8">
        <v>0</v>
      </c>
      <c r="AW17" s="8">
        <v>4000</v>
      </c>
      <c r="AX17" s="8">
        <v>4000</v>
      </c>
      <c r="AY17" s="14">
        <v>4</v>
      </c>
      <c r="AZ17" s="14">
        <v>0</v>
      </c>
      <c r="BA17" s="14">
        <v>0</v>
      </c>
      <c r="BB17" s="14">
        <v>0</v>
      </c>
      <c r="BC17" s="8">
        <v>0</v>
      </c>
      <c r="BD17" s="8">
        <v>4000</v>
      </c>
      <c r="BE17" s="8">
        <v>4000</v>
      </c>
      <c r="BF17" s="14">
        <v>4</v>
      </c>
      <c r="BG17" s="14">
        <v>0</v>
      </c>
      <c r="BH17" s="14">
        <v>0</v>
      </c>
      <c r="BI17" s="14">
        <v>0</v>
      </c>
      <c r="BJ17" s="8">
        <v>0</v>
      </c>
      <c r="BK17" s="8">
        <v>4000</v>
      </c>
      <c r="BL17" s="8">
        <v>4000</v>
      </c>
      <c r="BM17" s="14">
        <v>4</v>
      </c>
      <c r="BN17" s="14">
        <v>0</v>
      </c>
      <c r="BO17" s="14">
        <v>0</v>
      </c>
      <c r="BP17" s="8">
        <v>4000</v>
      </c>
      <c r="BQ17" s="8">
        <v>4000</v>
      </c>
      <c r="BR17" s="14">
        <v>4</v>
      </c>
      <c r="BS17" s="14">
        <v>0</v>
      </c>
      <c r="BT17" s="14">
        <v>0</v>
      </c>
      <c r="BU17" s="8">
        <v>4000</v>
      </c>
      <c r="BV17" s="8">
        <v>4000</v>
      </c>
      <c r="BW17" s="14">
        <v>4</v>
      </c>
      <c r="BX17" s="14">
        <v>0</v>
      </c>
      <c r="BY17" s="14">
        <v>0</v>
      </c>
      <c r="BZ17" s="8">
        <v>4000</v>
      </c>
      <c r="CA17" s="8">
        <v>4000</v>
      </c>
      <c r="CB17" s="14">
        <v>4</v>
      </c>
      <c r="CC17" s="14">
        <v>0</v>
      </c>
      <c r="CD17" s="14">
        <v>0</v>
      </c>
      <c r="CE17" s="8">
        <v>4000</v>
      </c>
      <c r="CF17" s="8">
        <v>4000</v>
      </c>
      <c r="CG17" s="14">
        <v>4</v>
      </c>
      <c r="CH17" s="14">
        <v>0</v>
      </c>
      <c r="CI17" s="14">
        <v>0</v>
      </c>
      <c r="CJ17" s="8">
        <v>4000</v>
      </c>
      <c r="CK17" s="8">
        <v>4000</v>
      </c>
      <c r="CL17" s="14">
        <v>4</v>
      </c>
      <c r="CM17" s="14">
        <v>0</v>
      </c>
      <c r="CN17" s="14">
        <v>0</v>
      </c>
      <c r="CO17" s="14">
        <v>0</v>
      </c>
      <c r="CP17" s="9">
        <v>48000</v>
      </c>
      <c r="CQ17" s="9">
        <v>48000</v>
      </c>
      <c r="CR17" s="14">
        <v>4</v>
      </c>
      <c r="CS17" s="14">
        <v>0</v>
      </c>
      <c r="CT17" s="14">
        <v>0</v>
      </c>
      <c r="CU17" s="14">
        <v>0</v>
      </c>
      <c r="CV17" s="8">
        <v>-48000</v>
      </c>
      <c r="CW17" s="8">
        <v>-48000</v>
      </c>
      <c r="CX17" s="14">
        <v>0</v>
      </c>
      <c r="CY17" s="14">
        <v>0</v>
      </c>
      <c r="CZ17" s="14">
        <v>0</v>
      </c>
      <c r="DA17" s="14">
        <v>0</v>
      </c>
      <c r="DB17" s="8">
        <v>48000</v>
      </c>
      <c r="DC17" s="8">
        <v>48000</v>
      </c>
    </row>
    <row r="18" spans="1:107" x14ac:dyDescent="0.3">
      <c r="A18" s="4"/>
      <c r="B18" s="4"/>
      <c r="C18" s="5" t="s">
        <v>1</v>
      </c>
      <c r="D18" s="5" t="s">
        <v>107</v>
      </c>
      <c r="E18" s="5" t="s">
        <v>125</v>
      </c>
      <c r="F18" s="5" t="s">
        <v>158</v>
      </c>
      <c r="G18" s="5"/>
      <c r="H18" s="5" t="s">
        <v>159</v>
      </c>
      <c r="I18" s="5" t="s">
        <v>159</v>
      </c>
      <c r="J18" s="5" t="s">
        <v>110</v>
      </c>
      <c r="K18" s="5" t="s">
        <v>159</v>
      </c>
      <c r="L18" s="5" t="s">
        <v>159</v>
      </c>
      <c r="M18" s="5" t="s">
        <v>160</v>
      </c>
      <c r="N18" s="5" t="s">
        <v>160</v>
      </c>
      <c r="O18" s="6" t="s">
        <v>160</v>
      </c>
      <c r="P18" s="6"/>
      <c r="Q18" s="7"/>
      <c r="R18" s="7"/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  <c r="AH18" s="8">
        <v>0</v>
      </c>
      <c r="AI18" s="8">
        <v>0</v>
      </c>
      <c r="AJ18" s="8">
        <v>0</v>
      </c>
      <c r="AK18" s="8">
        <v>0</v>
      </c>
      <c r="AL18" s="8">
        <v>0</v>
      </c>
      <c r="AM18" s="8">
        <v>0</v>
      </c>
      <c r="AN18" s="8">
        <v>0</v>
      </c>
      <c r="AO18" s="8">
        <v>0</v>
      </c>
      <c r="AP18" s="8">
        <v>0</v>
      </c>
      <c r="AQ18" s="8">
        <v>0</v>
      </c>
      <c r="AR18" s="8">
        <v>0</v>
      </c>
      <c r="AS18" s="8">
        <v>0</v>
      </c>
      <c r="AT18" s="8">
        <v>0</v>
      </c>
      <c r="AU18" s="8">
        <v>0</v>
      </c>
      <c r="AV18" s="8">
        <v>0</v>
      </c>
      <c r="AW18" s="8">
        <v>0</v>
      </c>
      <c r="AX18" s="8">
        <v>0</v>
      </c>
      <c r="AY18" s="8">
        <v>0</v>
      </c>
      <c r="AZ18" s="8">
        <v>0</v>
      </c>
      <c r="BA18" s="8">
        <v>0</v>
      </c>
      <c r="BB18" s="8">
        <v>0</v>
      </c>
      <c r="BC18" s="8">
        <v>0</v>
      </c>
      <c r="BD18" s="8">
        <v>0</v>
      </c>
      <c r="BE18" s="8">
        <v>0</v>
      </c>
      <c r="BF18" s="8">
        <v>0</v>
      </c>
      <c r="BG18" s="8">
        <v>0</v>
      </c>
      <c r="BH18" s="8">
        <v>0</v>
      </c>
      <c r="BI18" s="8">
        <v>0</v>
      </c>
      <c r="BJ18" s="8">
        <v>0</v>
      </c>
      <c r="BK18" s="8">
        <v>0</v>
      </c>
      <c r="BL18" s="8">
        <v>0</v>
      </c>
      <c r="BM18" s="8">
        <v>0</v>
      </c>
      <c r="BN18" s="8">
        <v>0</v>
      </c>
      <c r="BO18" s="8">
        <v>0</v>
      </c>
      <c r="BP18" s="8">
        <v>2000</v>
      </c>
      <c r="BQ18" s="8">
        <v>2000</v>
      </c>
      <c r="BR18" s="8">
        <v>2</v>
      </c>
      <c r="BS18" s="8">
        <v>0</v>
      </c>
      <c r="BT18" s="8">
        <v>0</v>
      </c>
      <c r="BU18" s="8">
        <v>2000</v>
      </c>
      <c r="BV18" s="8">
        <v>2000</v>
      </c>
      <c r="BW18" s="8">
        <v>2</v>
      </c>
      <c r="BX18" s="8">
        <v>0</v>
      </c>
      <c r="BY18" s="8">
        <v>0</v>
      </c>
      <c r="BZ18" s="8">
        <v>2000</v>
      </c>
      <c r="CA18" s="8">
        <v>2000</v>
      </c>
      <c r="CB18" s="8">
        <v>2</v>
      </c>
      <c r="CC18" s="8">
        <v>0</v>
      </c>
      <c r="CD18" s="8">
        <v>0</v>
      </c>
      <c r="CE18" s="8">
        <v>2000</v>
      </c>
      <c r="CF18" s="8">
        <v>2000</v>
      </c>
      <c r="CG18" s="8">
        <v>2</v>
      </c>
      <c r="CH18" s="8">
        <v>0</v>
      </c>
      <c r="CI18" s="8">
        <v>0</v>
      </c>
      <c r="CJ18" s="8">
        <v>2000</v>
      </c>
      <c r="CK18" s="8">
        <v>2000</v>
      </c>
      <c r="CL18" s="8">
        <v>2</v>
      </c>
      <c r="CM18" s="8">
        <v>0</v>
      </c>
      <c r="CN18" s="8">
        <v>0</v>
      </c>
      <c r="CO18" s="8">
        <v>0</v>
      </c>
      <c r="CP18" s="9">
        <v>10000</v>
      </c>
      <c r="CQ18" s="9">
        <v>10000</v>
      </c>
      <c r="CR18" s="8">
        <v>0.8</v>
      </c>
      <c r="CS18" s="8">
        <v>0</v>
      </c>
      <c r="CT18" s="8">
        <v>0</v>
      </c>
      <c r="CU18" s="8">
        <v>0</v>
      </c>
      <c r="CV18" s="8">
        <v>-10000</v>
      </c>
      <c r="CW18" s="8">
        <v>-10000</v>
      </c>
      <c r="CX18" s="8">
        <v>0</v>
      </c>
      <c r="CY18" s="8">
        <v>0</v>
      </c>
      <c r="CZ18" s="8">
        <v>0</v>
      </c>
      <c r="DA18" s="8">
        <v>0</v>
      </c>
      <c r="DB18" s="8">
        <v>10000</v>
      </c>
      <c r="DC18" s="8">
        <v>10000</v>
      </c>
    </row>
    <row r="19" spans="1:107" x14ac:dyDescent="0.3">
      <c r="A19" s="10"/>
      <c r="B19" s="10"/>
      <c r="C19" s="11" t="s">
        <v>1</v>
      </c>
      <c r="D19" s="11" t="s">
        <v>107</v>
      </c>
      <c r="E19" s="11" t="s">
        <v>125</v>
      </c>
      <c r="F19" s="11" t="s">
        <v>161</v>
      </c>
      <c r="G19" s="11"/>
      <c r="H19" s="11" t="s">
        <v>162</v>
      </c>
      <c r="I19" s="11" t="s">
        <v>162</v>
      </c>
      <c r="J19" s="11" t="s">
        <v>110</v>
      </c>
      <c r="K19" s="11" t="s">
        <v>162</v>
      </c>
      <c r="L19" s="11" t="s">
        <v>162</v>
      </c>
      <c r="M19" s="11" t="s">
        <v>163</v>
      </c>
      <c r="N19" s="11" t="s">
        <v>129</v>
      </c>
      <c r="O19" s="12" t="s">
        <v>114</v>
      </c>
      <c r="P19" s="12"/>
      <c r="Q19" s="13"/>
      <c r="R19" s="13"/>
      <c r="S19" s="14">
        <v>0</v>
      </c>
      <c r="T19" s="14">
        <v>0</v>
      </c>
      <c r="U19" s="8">
        <v>0</v>
      </c>
      <c r="V19" s="8">
        <v>0</v>
      </c>
      <c r="W19" s="14">
        <v>0</v>
      </c>
      <c r="X19" s="14">
        <v>0</v>
      </c>
      <c r="Y19" s="14">
        <v>0</v>
      </c>
      <c r="Z19" s="14">
        <v>0</v>
      </c>
      <c r="AA19" s="14">
        <v>0</v>
      </c>
      <c r="AB19" s="8">
        <v>0</v>
      </c>
      <c r="AC19" s="8">
        <v>0</v>
      </c>
      <c r="AD19" s="14">
        <v>0</v>
      </c>
      <c r="AE19" s="14">
        <v>0</v>
      </c>
      <c r="AF19" s="14">
        <v>0</v>
      </c>
      <c r="AG19" s="14">
        <v>0</v>
      </c>
      <c r="AH19" s="8">
        <v>0</v>
      </c>
      <c r="AI19" s="8">
        <v>0</v>
      </c>
      <c r="AJ19" s="8">
        <v>0</v>
      </c>
      <c r="AK19" s="14">
        <v>0</v>
      </c>
      <c r="AL19" s="14">
        <v>0</v>
      </c>
      <c r="AM19" s="14">
        <v>0</v>
      </c>
      <c r="AN19" s="14">
        <v>0</v>
      </c>
      <c r="AO19" s="8">
        <v>0</v>
      </c>
      <c r="AP19" s="8">
        <v>0</v>
      </c>
      <c r="AQ19" s="8">
        <v>0</v>
      </c>
      <c r="AR19" s="14">
        <v>0</v>
      </c>
      <c r="AS19" s="14">
        <v>0</v>
      </c>
      <c r="AT19" s="14">
        <v>0</v>
      </c>
      <c r="AU19" s="14">
        <v>0</v>
      </c>
      <c r="AV19" s="8">
        <v>0</v>
      </c>
      <c r="AW19" s="8">
        <v>0</v>
      </c>
      <c r="AX19" s="8">
        <v>0</v>
      </c>
      <c r="AY19" s="14">
        <v>0</v>
      </c>
      <c r="AZ19" s="14">
        <v>0</v>
      </c>
      <c r="BA19" s="14">
        <v>0</v>
      </c>
      <c r="BB19" s="14">
        <v>0</v>
      </c>
      <c r="BC19" s="8">
        <v>0</v>
      </c>
      <c r="BD19" s="8">
        <v>0</v>
      </c>
      <c r="BE19" s="8">
        <v>0</v>
      </c>
      <c r="BF19" s="14">
        <v>0</v>
      </c>
      <c r="BG19" s="14">
        <v>0</v>
      </c>
      <c r="BH19" s="14">
        <v>0</v>
      </c>
      <c r="BI19" s="14">
        <v>0</v>
      </c>
      <c r="BJ19" s="8">
        <v>0</v>
      </c>
      <c r="BK19" s="8">
        <v>0</v>
      </c>
      <c r="BL19" s="8">
        <v>0</v>
      </c>
      <c r="BM19" s="14">
        <v>0</v>
      </c>
      <c r="BN19" s="14">
        <v>0</v>
      </c>
      <c r="BO19" s="14">
        <v>0</v>
      </c>
      <c r="BP19" s="8">
        <v>0</v>
      </c>
      <c r="BQ19" s="8">
        <v>0</v>
      </c>
      <c r="BR19" s="14">
        <v>0</v>
      </c>
      <c r="BS19" s="14">
        <v>0</v>
      </c>
      <c r="BT19" s="14">
        <v>0</v>
      </c>
      <c r="BU19" s="8">
        <v>4000</v>
      </c>
      <c r="BV19" s="8">
        <v>4000</v>
      </c>
      <c r="BW19" s="14">
        <v>4</v>
      </c>
      <c r="BX19" s="14">
        <v>0</v>
      </c>
      <c r="BY19" s="14">
        <v>0</v>
      </c>
      <c r="BZ19" s="8">
        <v>4000</v>
      </c>
      <c r="CA19" s="8">
        <v>4000</v>
      </c>
      <c r="CB19" s="14">
        <v>4</v>
      </c>
      <c r="CC19" s="14">
        <v>0</v>
      </c>
      <c r="CD19" s="14">
        <v>0</v>
      </c>
      <c r="CE19" s="8">
        <v>4000</v>
      </c>
      <c r="CF19" s="8">
        <v>4000</v>
      </c>
      <c r="CG19" s="14">
        <v>4</v>
      </c>
      <c r="CH19" s="14">
        <v>0</v>
      </c>
      <c r="CI19" s="14">
        <v>0</v>
      </c>
      <c r="CJ19" s="8">
        <v>4000</v>
      </c>
      <c r="CK19" s="8">
        <v>4000</v>
      </c>
      <c r="CL19" s="14">
        <v>4</v>
      </c>
      <c r="CM19" s="14">
        <v>0</v>
      </c>
      <c r="CN19" s="14">
        <v>0</v>
      </c>
      <c r="CO19" s="14">
        <v>0</v>
      </c>
      <c r="CP19" s="9">
        <v>16000</v>
      </c>
      <c r="CQ19" s="9">
        <v>16000</v>
      </c>
      <c r="CR19" s="14">
        <v>1.3</v>
      </c>
      <c r="CS19" s="14">
        <v>0</v>
      </c>
      <c r="CT19" s="14">
        <v>0</v>
      </c>
      <c r="CU19" s="14">
        <v>0</v>
      </c>
      <c r="CV19" s="8">
        <v>-16000</v>
      </c>
      <c r="CW19" s="8">
        <v>-16000</v>
      </c>
      <c r="CX19" s="14">
        <v>0</v>
      </c>
      <c r="CY19" s="14">
        <v>0</v>
      </c>
      <c r="CZ19" s="14">
        <v>0</v>
      </c>
      <c r="DA19" s="14">
        <v>0</v>
      </c>
      <c r="DB19" s="8">
        <v>16000</v>
      </c>
      <c r="DC19" s="8">
        <v>16000</v>
      </c>
    </row>
    <row r="20" spans="1:107" x14ac:dyDescent="0.3">
      <c r="A20" s="4"/>
      <c r="B20" s="4"/>
      <c r="C20" s="5" t="s">
        <v>1</v>
      </c>
      <c r="D20" s="5" t="s">
        <v>107</v>
      </c>
      <c r="E20" s="5" t="s">
        <v>125</v>
      </c>
      <c r="F20" s="5" t="s">
        <v>161</v>
      </c>
      <c r="G20" s="5"/>
      <c r="H20" s="5" t="s">
        <v>162</v>
      </c>
      <c r="I20" s="5" t="s">
        <v>162</v>
      </c>
      <c r="J20" s="5" t="s">
        <v>110</v>
      </c>
      <c r="K20" s="5" t="s">
        <v>162</v>
      </c>
      <c r="L20" s="5" t="s">
        <v>162</v>
      </c>
      <c r="M20" s="5" t="s">
        <v>163</v>
      </c>
      <c r="N20" s="5" t="s">
        <v>129</v>
      </c>
      <c r="O20" s="6" t="s">
        <v>114</v>
      </c>
      <c r="P20" s="6"/>
      <c r="Q20" s="7"/>
      <c r="R20" s="7"/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8">
        <v>0</v>
      </c>
      <c r="AH20" s="8">
        <v>0</v>
      </c>
      <c r="AI20" s="8">
        <v>0</v>
      </c>
      <c r="AJ20" s="8">
        <v>0</v>
      </c>
      <c r="AK20" s="8">
        <v>0</v>
      </c>
      <c r="AL20" s="8">
        <v>0</v>
      </c>
      <c r="AM20" s="8">
        <v>0</v>
      </c>
      <c r="AN20" s="8">
        <v>0</v>
      </c>
      <c r="AO20" s="8">
        <v>0</v>
      </c>
      <c r="AP20" s="8">
        <v>0</v>
      </c>
      <c r="AQ20" s="8">
        <v>0</v>
      </c>
      <c r="AR20" s="8">
        <v>0</v>
      </c>
      <c r="AS20" s="8">
        <v>0</v>
      </c>
      <c r="AT20" s="8">
        <v>0</v>
      </c>
      <c r="AU20" s="8">
        <v>0</v>
      </c>
      <c r="AV20" s="8">
        <v>0</v>
      </c>
      <c r="AW20" s="8">
        <v>0</v>
      </c>
      <c r="AX20" s="8">
        <v>0</v>
      </c>
      <c r="AY20" s="8">
        <v>0</v>
      </c>
      <c r="AZ20" s="8">
        <v>0</v>
      </c>
      <c r="BA20" s="8">
        <v>0</v>
      </c>
      <c r="BB20" s="8">
        <v>0</v>
      </c>
      <c r="BC20" s="8">
        <v>0</v>
      </c>
      <c r="BD20" s="8">
        <v>0</v>
      </c>
      <c r="BE20" s="8">
        <v>0</v>
      </c>
      <c r="BF20" s="8">
        <v>0</v>
      </c>
      <c r="BG20" s="8">
        <v>0</v>
      </c>
      <c r="BH20" s="8">
        <v>0</v>
      </c>
      <c r="BI20" s="8">
        <v>0</v>
      </c>
      <c r="BJ20" s="8">
        <v>0</v>
      </c>
      <c r="BK20" s="8">
        <v>0</v>
      </c>
      <c r="BL20" s="8">
        <v>0</v>
      </c>
      <c r="BM20" s="8">
        <v>0</v>
      </c>
      <c r="BN20" s="8">
        <v>0</v>
      </c>
      <c r="BO20" s="8">
        <v>0</v>
      </c>
      <c r="BP20" s="8">
        <v>0</v>
      </c>
      <c r="BQ20" s="8">
        <v>0</v>
      </c>
      <c r="BR20" s="8">
        <v>0</v>
      </c>
      <c r="BS20" s="8">
        <v>0</v>
      </c>
      <c r="BT20" s="8">
        <v>0</v>
      </c>
      <c r="BU20" s="8">
        <v>4000</v>
      </c>
      <c r="BV20" s="8">
        <v>4000</v>
      </c>
      <c r="BW20" s="8">
        <v>4</v>
      </c>
      <c r="BX20" s="8">
        <v>0</v>
      </c>
      <c r="BY20" s="8">
        <v>0</v>
      </c>
      <c r="BZ20" s="8">
        <v>4000</v>
      </c>
      <c r="CA20" s="8">
        <v>4000</v>
      </c>
      <c r="CB20" s="8">
        <v>4</v>
      </c>
      <c r="CC20" s="8">
        <v>0</v>
      </c>
      <c r="CD20" s="8">
        <v>0</v>
      </c>
      <c r="CE20" s="8">
        <v>4000</v>
      </c>
      <c r="CF20" s="8">
        <v>4000</v>
      </c>
      <c r="CG20" s="8">
        <v>4</v>
      </c>
      <c r="CH20" s="8">
        <v>0</v>
      </c>
      <c r="CI20" s="8">
        <v>0</v>
      </c>
      <c r="CJ20" s="8">
        <v>4000</v>
      </c>
      <c r="CK20" s="8">
        <v>4000</v>
      </c>
      <c r="CL20" s="8">
        <v>4</v>
      </c>
      <c r="CM20" s="8">
        <v>0</v>
      </c>
      <c r="CN20" s="8">
        <v>0</v>
      </c>
      <c r="CO20" s="8">
        <v>0</v>
      </c>
      <c r="CP20" s="9">
        <v>16000</v>
      </c>
      <c r="CQ20" s="9">
        <v>16000</v>
      </c>
      <c r="CR20" s="8">
        <v>1.3</v>
      </c>
      <c r="CS20" s="8">
        <v>0</v>
      </c>
      <c r="CT20" s="8">
        <v>0</v>
      </c>
      <c r="CU20" s="8">
        <v>0</v>
      </c>
      <c r="CV20" s="8">
        <v>-16000</v>
      </c>
      <c r="CW20" s="8">
        <v>-16000</v>
      </c>
      <c r="CX20" s="8">
        <v>0</v>
      </c>
      <c r="CY20" s="8">
        <v>0</v>
      </c>
      <c r="CZ20" s="8">
        <v>0</v>
      </c>
      <c r="DA20" s="8">
        <v>0</v>
      </c>
      <c r="DB20" s="8">
        <v>16000</v>
      </c>
      <c r="DC20" s="8">
        <v>16000</v>
      </c>
    </row>
    <row r="21" spans="1:107" x14ac:dyDescent="0.3">
      <c r="A21" s="10"/>
      <c r="B21" s="10"/>
      <c r="C21" s="11"/>
      <c r="D21" s="11" t="s">
        <v>164</v>
      </c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2"/>
      <c r="P21" s="12"/>
      <c r="Q21" s="13"/>
      <c r="R21" s="13"/>
      <c r="S21" s="14">
        <f>SUM($S$2,$S$3,$S$4,$S$5,$S$6,$S$7,$S$8,$S$9,$S$10,$S$11,$S$12,$S$13,$S$14,$S$15,$S$16,$S$17,$S$18,$S$19,$S$20)</f>
        <v>0</v>
      </c>
      <c r="T21" s="14">
        <f>SUM($T$2,$T$3,$T$4,$T$5,$T$6,$T$7,$T$8,$T$9,$T$10,$T$11,$T$12,$T$13,$T$14,$T$15,$T$16,$T$17,$T$18,$T$19,$T$20)</f>
        <v>0</v>
      </c>
      <c r="U21" s="8">
        <f>SUM($U$2,$U$3,$U$4,$U$5,$U$6,$U$7,$U$8,$U$9,$U$10,$U$11,$U$12,$U$13,$U$14,$U$15,$U$16,$U$17,$U$18,$U$19,$U$20)</f>
        <v>78000</v>
      </c>
      <c r="V21" s="8">
        <f>SUM($V$2,$V$3,$V$4,$V$5,$V$6,$V$7,$V$8,$V$9,$V$10,$V$11,$V$12,$V$13,$V$14,$V$15,$V$16,$V$17,$V$18,$V$19,$V$20)</f>
        <v>78000</v>
      </c>
      <c r="W21" s="14">
        <f>SUM($W$2,$W$3,$W$4,$W$5,$W$6,$W$7,$W$8,$W$9,$W$10,$W$11,$W$12,$W$13,$W$14,$W$15,$W$16,$W$17,$W$18,$W$19,$W$20)</f>
        <v>78</v>
      </c>
      <c r="X21" s="14">
        <f>SUM($X$2,$X$3,$X$4,$X$5,$X$6,$X$7,$X$8,$X$9,$X$10,$X$11,$X$12,$X$13,$X$14,$X$15,$X$16,$X$17,$X$18,$X$19,$X$20)</f>
        <v>0</v>
      </c>
      <c r="Y21" s="14">
        <f>SUM($Y$2,$Y$3,$Y$4,$Y$5,$Y$6,$Y$7,$Y$8,$Y$9,$Y$10,$Y$11,$Y$12,$Y$13,$Y$14,$Y$15,$Y$16,$Y$17,$Y$18,$Y$19,$Y$20)</f>
        <v>0</v>
      </c>
      <c r="Z21" s="14">
        <f>SUM($Z$2,$Z$3,$Z$4,$Z$5,$Z$6,$Z$7,$Z$8,$Z$9,$Z$10,$Z$11,$Z$12,$Z$13,$Z$14,$Z$15,$Z$16,$Z$17,$Z$18,$Z$19,$Z$20)</f>
        <v>0</v>
      </c>
      <c r="AA21" s="14">
        <f>SUM($AA$2,$AA$3,$AA$4,$AA$5,$AA$6,$AA$7,$AA$8,$AA$9,$AA$10,$AA$11,$AA$12,$AA$13,$AA$14,$AA$15,$AA$16,$AA$17,$AA$18,$AA$19,$AA$20)</f>
        <v>0</v>
      </c>
      <c r="AB21" s="8">
        <f>SUM($AB$2,$AB$3,$AB$4,$AB$5,$AB$6,$AB$7,$AB$8,$AB$9,$AB$10,$AB$11,$AB$12,$AB$13,$AB$14,$AB$15,$AB$16,$AB$17,$AB$18,$AB$19,$AB$20)</f>
        <v>83000</v>
      </c>
      <c r="AC21" s="8">
        <f>SUM($AC$2,$AC$3,$AC$4,$AC$5,$AC$6,$AC$7,$AC$8,$AC$9,$AC$10,$AC$11,$AC$12,$AC$13,$AC$14,$AC$15,$AC$16,$AC$17,$AC$18,$AC$19,$AC$20)</f>
        <v>83000</v>
      </c>
      <c r="AD21" s="14">
        <f>SUM($AD$2,$AD$3,$AD$4,$AD$5,$AD$6,$AD$7,$AD$8,$AD$9,$AD$10,$AD$11,$AD$12,$AD$13,$AD$14,$AD$15,$AD$16,$AD$17,$AD$18,$AD$19,$AD$20)</f>
        <v>83</v>
      </c>
      <c r="AE21" s="14">
        <f>SUM($AE$2,$AE$3,$AE$4,$AE$5,$AE$6,$AE$7,$AE$8,$AE$9,$AE$10,$AE$11,$AE$12,$AE$13,$AE$14,$AE$15,$AE$16,$AE$17,$AE$18,$AE$19,$AE$20)</f>
        <v>0</v>
      </c>
      <c r="AF21" s="14">
        <f>SUM($AF$2,$AF$3,$AF$4,$AF$5,$AF$6,$AF$7,$AF$8,$AF$9,$AF$10,$AF$11,$AF$12,$AF$13,$AF$14,$AF$15,$AF$16,$AF$17,$AF$18,$AF$19,$AF$20)</f>
        <v>0</v>
      </c>
      <c r="AG21" s="14">
        <f>SUM($AG$2,$AG$3,$AG$4,$AG$5,$AG$6,$AG$7,$AG$8,$AG$9,$AG$10,$AG$11,$AG$12,$AG$13,$AG$14,$AG$15,$AG$16,$AG$17,$AG$18,$AG$19,$AG$20)</f>
        <v>0</v>
      </c>
      <c r="AH21" s="8">
        <f>SUM($AH$2,$AH$3,$AH$4,$AH$5,$AH$6,$AH$7,$AH$8,$AH$9,$AH$10,$AH$11,$AH$12,$AH$13,$AH$14,$AH$15,$AH$16,$AH$17,$AH$18,$AH$19,$AH$20)</f>
        <v>0</v>
      </c>
      <c r="AI21" s="8">
        <f>SUM($AI$2,$AI$3,$AI$4,$AI$5,$AI$6,$AI$7,$AI$8,$AI$9,$AI$10,$AI$11,$AI$12,$AI$13,$AI$14,$AI$15,$AI$16,$AI$17,$AI$18,$AI$19,$AI$20)</f>
        <v>81000</v>
      </c>
      <c r="AJ21" s="8">
        <f>SUM($AJ$2,$AJ$3,$AJ$4,$AJ$5,$AJ$6,$AJ$7,$AJ$8,$AJ$9,$AJ$10,$AJ$11,$AJ$12,$AJ$13,$AJ$14,$AJ$15,$AJ$16,$AJ$17,$AJ$18,$AJ$19,$AJ$20)</f>
        <v>81000</v>
      </c>
      <c r="AK21" s="14">
        <f>SUM($AK$2,$AK$3,$AK$4,$AK$5,$AK$6,$AK$7,$AK$8,$AK$9,$AK$10,$AK$11,$AK$12,$AK$13,$AK$14,$AK$15,$AK$16,$AK$17,$AK$18,$AK$19,$AK$20)</f>
        <v>81</v>
      </c>
      <c r="AL21" s="14">
        <f>SUM($AL$2,$AL$3,$AL$4,$AL$5,$AL$6,$AL$7,$AL$8,$AL$9,$AL$10,$AL$11,$AL$12,$AL$13,$AL$14,$AL$15,$AL$16,$AL$17,$AL$18,$AL$19,$AL$20)</f>
        <v>0</v>
      </c>
      <c r="AM21" s="14">
        <f>SUM($AM$2,$AM$3,$AM$4,$AM$5,$AM$6,$AM$7,$AM$8,$AM$9,$AM$10,$AM$11,$AM$12,$AM$13,$AM$14,$AM$15,$AM$16,$AM$17,$AM$18,$AM$19,$AM$20)</f>
        <v>0</v>
      </c>
      <c r="AN21" s="14">
        <f>SUM($AN$2,$AN$3,$AN$4,$AN$5,$AN$6,$AN$7,$AN$8,$AN$9,$AN$10,$AN$11,$AN$12,$AN$13,$AN$14,$AN$15,$AN$16,$AN$17,$AN$18,$AN$19,$AN$20)</f>
        <v>0</v>
      </c>
      <c r="AO21" s="8">
        <f>SUM($AO$2,$AO$3,$AO$4,$AO$5,$AO$6,$AO$7,$AO$8,$AO$9,$AO$10,$AO$11,$AO$12,$AO$13,$AO$14,$AO$15,$AO$16,$AO$17,$AO$18,$AO$19,$AO$20)</f>
        <v>0</v>
      </c>
      <c r="AP21" s="8">
        <f>SUM($AP$2,$AP$3,$AP$4,$AP$5,$AP$6,$AP$7,$AP$8,$AP$9,$AP$10,$AP$11,$AP$12,$AP$13,$AP$14,$AP$15,$AP$16,$AP$17,$AP$18,$AP$19,$AP$20)</f>
        <v>86000</v>
      </c>
      <c r="AQ21" s="8">
        <f>SUM($AQ$2,$AQ$3,$AQ$4,$AQ$5,$AQ$6,$AQ$7,$AQ$8,$AQ$9,$AQ$10,$AQ$11,$AQ$12,$AQ$13,$AQ$14,$AQ$15,$AQ$16,$AQ$17,$AQ$18,$AQ$19,$AQ$20)</f>
        <v>86000</v>
      </c>
      <c r="AR21" s="14">
        <f>SUM($AR$2,$AR$3,$AR$4,$AR$5,$AR$6,$AR$7,$AR$8,$AR$9,$AR$10,$AR$11,$AR$12,$AR$13,$AR$14,$AR$15,$AR$16,$AR$17,$AR$18,$AR$19,$AR$20)</f>
        <v>86</v>
      </c>
      <c r="AS21" s="14">
        <f>SUM($AS$2,$AS$3,$AS$4,$AS$5,$AS$6,$AS$7,$AS$8,$AS$9,$AS$10,$AS$11,$AS$12,$AS$13,$AS$14,$AS$15,$AS$16,$AS$17,$AS$18,$AS$19,$AS$20)</f>
        <v>0</v>
      </c>
      <c r="AT21" s="14">
        <f>SUM($AT$2,$AT$3,$AT$4,$AT$5,$AT$6,$AT$7,$AT$8,$AT$9,$AT$10,$AT$11,$AT$12,$AT$13,$AT$14,$AT$15,$AT$16,$AT$17,$AT$18,$AT$19,$AT$20)</f>
        <v>0</v>
      </c>
      <c r="AU21" s="14">
        <f>SUM($AU$2,$AU$3,$AU$4,$AU$5,$AU$6,$AU$7,$AU$8,$AU$9,$AU$10,$AU$11,$AU$12,$AU$13,$AU$14,$AU$15,$AU$16,$AU$17,$AU$18,$AU$19,$AU$20)</f>
        <v>0</v>
      </c>
      <c r="AV21" s="8">
        <f>SUM($AV$2,$AV$3,$AV$4,$AV$5,$AV$6,$AV$7,$AV$8,$AV$9,$AV$10,$AV$11,$AV$12,$AV$13,$AV$14,$AV$15,$AV$16,$AV$17,$AV$18,$AV$19,$AV$20)</f>
        <v>0</v>
      </c>
      <c r="AW21" s="8">
        <f>SUM($AW$2,$AW$3,$AW$4,$AW$5,$AW$6,$AW$7,$AW$8,$AW$9,$AW$10,$AW$11,$AW$12,$AW$13,$AW$14,$AW$15,$AW$16,$AW$17,$AW$18,$AW$19,$AW$20)</f>
        <v>85000</v>
      </c>
      <c r="AX21" s="8">
        <f>SUM($AX$2,$AX$3,$AX$4,$AX$5,$AX$6,$AX$7,$AX$8,$AX$9,$AX$10,$AX$11,$AX$12,$AX$13,$AX$14,$AX$15,$AX$16,$AX$17,$AX$18,$AX$19,$AX$20)</f>
        <v>85000</v>
      </c>
      <c r="AY21" s="14">
        <f>SUM($AY$2,$AY$3,$AY$4,$AY$5,$AY$6,$AY$7,$AY$8,$AY$9,$AY$10,$AY$11,$AY$12,$AY$13,$AY$14,$AY$15,$AY$16,$AY$17,$AY$18,$AY$19,$AY$20)</f>
        <v>85</v>
      </c>
      <c r="AZ21" s="14">
        <f>SUM($AZ$2,$AZ$3,$AZ$4,$AZ$5,$AZ$6,$AZ$7,$AZ$8,$AZ$9,$AZ$10,$AZ$11,$AZ$12,$AZ$13,$AZ$14,$AZ$15,$AZ$16,$AZ$17,$AZ$18,$AZ$19,$AZ$20)</f>
        <v>818.01</v>
      </c>
      <c r="BA21" s="14">
        <f>SUM($BA$2,$BA$3,$BA$4,$BA$5,$BA$6,$BA$7,$BA$8,$BA$9,$BA$10,$BA$11,$BA$12,$BA$13,$BA$14,$BA$15,$BA$16,$BA$17,$BA$18,$BA$19,$BA$20)</f>
        <v>0</v>
      </c>
      <c r="BB21" s="14">
        <f>SUM($BB$2,$BB$3,$BB$4,$BB$5,$BB$6,$BB$7,$BB$8,$BB$9,$BB$10,$BB$11,$BB$12,$BB$13,$BB$14,$BB$15,$BB$16,$BB$17,$BB$18,$BB$19,$BB$20)</f>
        <v>0</v>
      </c>
      <c r="BC21" s="8">
        <f>SUM($BC$2,$BC$3,$BC$4,$BC$5,$BC$6,$BC$7,$BC$8,$BC$9,$BC$10,$BC$11,$BC$12,$BC$13,$BC$14,$BC$15,$BC$16,$BC$17,$BC$18,$BC$19,$BC$20)</f>
        <v>0</v>
      </c>
      <c r="BD21" s="8">
        <f>SUM($BD$2,$BD$3,$BD$4,$BD$5,$BD$6,$BD$7,$BD$8,$BD$9,$BD$10,$BD$11,$BD$12,$BD$13,$BD$14,$BD$15,$BD$16,$BD$17,$BD$18,$BD$19,$BD$20)</f>
        <v>89000</v>
      </c>
      <c r="BE21" s="8">
        <f>SUM($BE$2,$BE$3,$BE$4,$BE$5,$BE$6,$BE$7,$BE$8,$BE$9,$BE$10,$BE$11,$BE$12,$BE$13,$BE$14,$BE$15,$BE$16,$BE$17,$BE$18,$BE$19,$BE$20)</f>
        <v>89000</v>
      </c>
      <c r="BF21" s="14">
        <f>SUM($BF$2,$BF$3,$BF$4,$BF$5,$BF$6,$BF$7,$BF$8,$BF$9,$BF$10,$BF$11,$BF$12,$BF$13,$BF$14,$BF$15,$BF$16,$BF$17,$BF$18,$BF$19,$BF$20)</f>
        <v>89</v>
      </c>
      <c r="BG21" s="14">
        <f>SUM($BG$2,$BG$3,$BG$4,$BG$5,$BG$6,$BG$7,$BG$8,$BG$9,$BG$10,$BG$11,$BG$12,$BG$13,$BG$14,$BG$15,$BG$16,$BG$17,$BG$18,$BG$19,$BG$20)</f>
        <v>0</v>
      </c>
      <c r="BH21" s="14">
        <f>SUM($BH$2,$BH$3,$BH$4,$BH$5,$BH$6,$BH$7,$BH$8,$BH$9,$BH$10,$BH$11,$BH$12,$BH$13,$BH$14,$BH$15,$BH$16,$BH$17,$BH$18,$BH$19,$BH$20)</f>
        <v>0</v>
      </c>
      <c r="BI21" s="14">
        <f>SUM($BI$2,$BI$3,$BI$4,$BI$5,$BI$6,$BI$7,$BI$8,$BI$9,$BI$10,$BI$11,$BI$12,$BI$13,$BI$14,$BI$15,$BI$16,$BI$17,$BI$18,$BI$19,$BI$20)</f>
        <v>0</v>
      </c>
      <c r="BJ21" s="8">
        <f>SUM($BJ$2,$BJ$3,$BJ$4,$BJ$5,$BJ$6,$BJ$7,$BJ$8,$BJ$9,$BJ$10,$BJ$11,$BJ$12,$BJ$13,$BJ$14,$BJ$15,$BJ$16,$BJ$17,$BJ$18,$BJ$19,$BJ$20)</f>
        <v>0</v>
      </c>
      <c r="BK21" s="8">
        <f>SUM($BK$2,$BK$3,$BK$4,$BK$5,$BK$6,$BK$7,$BK$8,$BK$9,$BK$10,$BK$11,$BK$12,$BK$13,$BK$14,$BK$15,$BK$16,$BK$17,$BK$18,$BK$19,$BK$20)</f>
        <v>89000</v>
      </c>
      <c r="BL21" s="8">
        <f>SUM($BL$2,$BL$3,$BL$4,$BL$5,$BL$6,$BL$7,$BL$8,$BL$9,$BL$10,$BL$11,$BL$12,$BL$13,$BL$14,$BL$15,$BL$16,$BL$17,$BL$18,$BL$19,$BL$20)</f>
        <v>89000</v>
      </c>
      <c r="BM21" s="14">
        <f>SUM($BM$2,$BM$3,$BM$4,$BM$5,$BM$6,$BM$7,$BM$8,$BM$9,$BM$10,$BM$11,$BM$12,$BM$13,$BM$14,$BM$15,$BM$16,$BM$17,$BM$18,$BM$19,$BM$20)</f>
        <v>89</v>
      </c>
      <c r="BN21" s="14">
        <f>SUM($BN$2,$BN$3,$BN$4,$BN$5,$BN$6,$BN$7,$BN$8,$BN$9,$BN$10,$BN$11,$BN$12,$BN$13,$BN$14,$BN$15,$BN$16,$BN$17,$BN$18,$BN$19,$BN$20)</f>
        <v>0</v>
      </c>
      <c r="BO21" s="14">
        <f>SUM($BO$2,$BO$3,$BO$4,$BO$5,$BO$6,$BO$7,$BO$8,$BO$9,$BO$10,$BO$11,$BO$12,$BO$13,$BO$14,$BO$15,$BO$16,$BO$17,$BO$18,$BO$19,$BO$20)</f>
        <v>0</v>
      </c>
      <c r="BP21" s="8">
        <f>SUM($BP$2,$BP$3,$BP$4,$BP$5,$BP$6,$BP$7,$BP$8,$BP$9,$BP$10,$BP$11,$BP$12,$BP$13,$BP$14,$BP$15,$BP$16,$BP$17,$BP$18,$BP$19,$BP$20)</f>
        <v>80000</v>
      </c>
      <c r="BQ21" s="8">
        <f>SUM($BQ$2,$BQ$3,$BQ$4,$BQ$5,$BQ$6,$BQ$7,$BQ$8,$BQ$9,$BQ$10,$BQ$11,$BQ$12,$BQ$13,$BQ$14,$BQ$15,$BQ$16,$BQ$17,$BQ$18,$BQ$19,$BQ$20)</f>
        <v>80000</v>
      </c>
      <c r="BR21" s="14">
        <f>SUM($BR$2,$BR$3,$BR$4,$BR$5,$BR$6,$BR$7,$BR$8,$BR$9,$BR$10,$BR$11,$BR$12,$BR$13,$BR$14,$BR$15,$BR$16,$BR$17,$BR$18,$BR$19,$BR$20)</f>
        <v>80</v>
      </c>
      <c r="BS21" s="14">
        <f>SUM($BS$2,$BS$3,$BS$4,$BS$5,$BS$6,$BS$7,$BS$8,$BS$9,$BS$10,$BS$11,$BS$12,$BS$13,$BS$14,$BS$15,$BS$16,$BS$17,$BS$18,$BS$19,$BS$20)</f>
        <v>0</v>
      </c>
      <c r="BT21" s="14">
        <f>SUM($BT$2,$BT$3,$BT$4,$BT$5,$BT$6,$BT$7,$BT$8,$BT$9,$BT$10,$BT$11,$BT$12,$BT$13,$BT$14,$BT$15,$BT$16,$BT$17,$BT$18,$BT$19,$BT$20)</f>
        <v>0</v>
      </c>
      <c r="BU21" s="8">
        <f>SUM($BU$2,$BU$3,$BU$4,$BU$5,$BU$6,$BU$7,$BU$8,$BU$9,$BU$10,$BU$11,$BU$12,$BU$13,$BU$14,$BU$15,$BU$16,$BU$17,$BU$18,$BU$19,$BU$20)</f>
        <v>92000</v>
      </c>
      <c r="BV21" s="8">
        <f>SUM($BV$2,$BV$3,$BV$4,$BV$5,$BV$6,$BV$7,$BV$8,$BV$9,$BV$10,$BV$11,$BV$12,$BV$13,$BV$14,$BV$15,$BV$16,$BV$17,$BV$18,$BV$19,$BV$20)</f>
        <v>92000</v>
      </c>
      <c r="BW21" s="14">
        <f>SUM($BW$2,$BW$3,$BW$4,$BW$5,$BW$6,$BW$7,$BW$8,$BW$9,$BW$10,$BW$11,$BW$12,$BW$13,$BW$14,$BW$15,$BW$16,$BW$17,$BW$18,$BW$19,$BW$20)</f>
        <v>92</v>
      </c>
      <c r="BX21" s="14">
        <f>SUM($BX$2,$BX$3,$BX$4,$BX$5,$BX$6,$BX$7,$BX$8,$BX$9,$BX$10,$BX$11,$BX$12,$BX$13,$BX$14,$BX$15,$BX$16,$BX$17,$BX$18,$BX$19,$BX$20)</f>
        <v>0</v>
      </c>
      <c r="BY21" s="14">
        <f>SUM($BY$2,$BY$3,$BY$4,$BY$5,$BY$6,$BY$7,$BY$8,$BY$9,$BY$10,$BY$11,$BY$12,$BY$13,$BY$14,$BY$15,$BY$16,$BY$17,$BY$18,$BY$19,$BY$20)</f>
        <v>0</v>
      </c>
      <c r="BZ21" s="8">
        <f>SUM($BZ$2,$BZ$3,$BZ$4,$BZ$5,$BZ$6,$BZ$7,$BZ$8,$BZ$9,$BZ$10,$BZ$11,$BZ$12,$BZ$13,$BZ$14,$BZ$15,$BZ$16,$BZ$17,$BZ$18,$BZ$19,$BZ$20)</f>
        <v>92000</v>
      </c>
      <c r="CA21" s="8">
        <f>SUM($CA$2,$CA$3,$CA$4,$CA$5,$CA$6,$CA$7,$CA$8,$CA$9,$CA$10,$CA$11,$CA$12,$CA$13,$CA$14,$CA$15,$CA$16,$CA$17,$CA$18,$CA$19,$CA$20)</f>
        <v>92000</v>
      </c>
      <c r="CB21" s="14">
        <f>SUM($CB$2,$CB$3,$CB$4,$CB$5,$CB$6,$CB$7,$CB$8,$CB$9,$CB$10,$CB$11,$CB$12,$CB$13,$CB$14,$CB$15,$CB$16,$CB$17,$CB$18,$CB$19,$CB$20)</f>
        <v>92</v>
      </c>
      <c r="CC21" s="14">
        <f>SUM($CC$2,$CC$3,$CC$4,$CC$5,$CC$6,$CC$7,$CC$8,$CC$9,$CC$10,$CC$11,$CC$12,$CC$13,$CC$14,$CC$15,$CC$16,$CC$17,$CC$18,$CC$19,$CC$20)</f>
        <v>0</v>
      </c>
      <c r="CD21" s="14">
        <f>SUM($CD$2,$CD$3,$CD$4,$CD$5,$CD$6,$CD$7,$CD$8,$CD$9,$CD$10,$CD$11,$CD$12,$CD$13,$CD$14,$CD$15,$CD$16,$CD$17,$CD$18,$CD$19,$CD$20)</f>
        <v>0</v>
      </c>
      <c r="CE21" s="8">
        <f>SUM($CE$2,$CE$3,$CE$4,$CE$5,$CE$6,$CE$7,$CE$8,$CE$9,$CE$10,$CE$11,$CE$12,$CE$13,$CE$14,$CE$15,$CE$16,$CE$17,$CE$18,$CE$19,$CE$20)</f>
        <v>92000</v>
      </c>
      <c r="CF21" s="8">
        <f>SUM($CF$2,$CF$3,$CF$4,$CF$5,$CF$6,$CF$7,$CF$8,$CF$9,$CF$10,$CF$11,$CF$12,$CF$13,$CF$14,$CF$15,$CF$16,$CF$17,$CF$18,$CF$19,$CF$20)</f>
        <v>92000</v>
      </c>
      <c r="CG21" s="14">
        <f>SUM($CG$2,$CG$3,$CG$4,$CG$5,$CG$6,$CG$7,$CG$8,$CG$9,$CG$10,$CG$11,$CG$12,$CG$13,$CG$14,$CG$15,$CG$16,$CG$17,$CG$18,$CG$19,$CG$20)</f>
        <v>92</v>
      </c>
      <c r="CH21" s="14">
        <f>SUM($CH$2,$CH$3,$CH$4,$CH$5,$CH$6,$CH$7,$CH$8,$CH$9,$CH$10,$CH$11,$CH$12,$CH$13,$CH$14,$CH$15,$CH$16,$CH$17,$CH$18,$CH$19,$CH$20)</f>
        <v>0</v>
      </c>
      <c r="CI21" s="14">
        <f>SUM($CI$2,$CI$3,$CI$4,$CI$5,$CI$6,$CI$7,$CI$8,$CI$9,$CI$10,$CI$11,$CI$12,$CI$13,$CI$14,$CI$15,$CI$16,$CI$17,$CI$18,$CI$19,$CI$20)</f>
        <v>0</v>
      </c>
      <c r="CJ21" s="8">
        <f>SUM($CJ$2,$CJ$3,$CJ$4,$CJ$5,$CJ$6,$CJ$7,$CJ$8,$CJ$9,$CJ$10,$CJ$11,$CJ$12,$CJ$13,$CJ$14,$CJ$15,$CJ$16,$CJ$17,$CJ$18,$CJ$19,$CJ$20)</f>
        <v>92000</v>
      </c>
      <c r="CK21" s="8">
        <f>SUM($CK$2,$CK$3,$CK$4,$CK$5,$CK$6,$CK$7,$CK$8,$CK$9,$CK$10,$CK$11,$CK$12,$CK$13,$CK$14,$CK$15,$CK$16,$CK$17,$CK$18,$CK$19,$CK$20)</f>
        <v>92000</v>
      </c>
      <c r="CL21" s="14">
        <f>SUM($CL$2,$CL$3,$CL$4,$CL$5,$CL$6,$CL$7,$CL$8,$CL$9,$CL$10,$CL$11,$CL$12,$CL$13,$CL$14,$CL$15,$CL$16,$CL$17,$CL$18,$CL$19,$CL$20)</f>
        <v>92</v>
      </c>
      <c r="CM21" s="14">
        <f>SUM($CM$2,$CM$3,$CM$4,$CM$5,$CM$6,$CM$7,$CM$8,$CM$9,$CM$10,$CM$11,$CM$12,$CM$13,$CM$14,$CM$15,$CM$16,$CM$17,$CM$18,$CM$19,$CM$20)</f>
        <v>0</v>
      </c>
      <c r="CN21" s="14">
        <f>SUM($CN$2,$CN$3,$CN$4,$CN$5,$CN$6,$CN$7,$CN$8,$CN$9,$CN$10,$CN$11,$CN$12,$CN$13,$CN$14,$CN$15,$CN$16,$CN$17,$CN$18,$CN$19,$CN$20)</f>
        <v>0</v>
      </c>
      <c r="CO21" s="14">
        <f>SUM($CO$2,$CO$3,$CO$4,$CO$5,$CO$6,$CO$7,$CO$8,$CO$9,$CO$10,$CO$11,$CO$12,$CO$13,$CO$14,$CO$15,$CO$16,$CO$17,$CO$18,$CO$19,$CO$20)</f>
        <v>0</v>
      </c>
      <c r="CP21" s="9">
        <f>SUM($CP$2,$CP$3,$CP$4,$CP$5,$CP$6,$CP$7,$CP$8,$CP$9,$CP$10,$CP$11,$CP$12,$CP$13,$CP$14,$CP$15,$CP$16,$CP$17,$CP$18,$CP$19,$CP$20)</f>
        <v>1039000</v>
      </c>
      <c r="CQ21" s="9">
        <f>SUM($CQ$2,$CQ$3,$CQ$4,$CQ$5,$CQ$6,$CQ$7,$CQ$8,$CQ$9,$CQ$10,$CQ$11,$CQ$12,$CQ$13,$CQ$14,$CQ$15,$CQ$16,$CQ$17,$CQ$18,$CQ$19,$CQ$20)</f>
        <v>1039000</v>
      </c>
      <c r="CR21" s="14">
        <f>SUM($CR$2,$CR$3,$CR$4,$CR$5,$CR$6,$CR$7,$CR$8,$CR$9,$CR$10,$CR$11,$CR$12,$CR$13,$CR$14,$CR$15,$CR$16,$CR$17,$CR$18,$CR$19,$CR$20)</f>
        <v>85.999999999999986</v>
      </c>
      <c r="CS21" s="14">
        <f>SUM($CS$2,$CS$3,$CS$4,$CS$5,$CS$6,$CS$7,$CS$8,$CS$9,$CS$10,$CS$11,$CS$12,$CS$13,$CS$14,$CS$15,$CS$16,$CS$17,$CS$18,$CS$19,$CS$20)</f>
        <v>0</v>
      </c>
      <c r="CT21" s="14">
        <f>SUM($CT$2,$CT$3,$CT$4,$CT$5,$CT$6,$CT$7,$CT$8,$CT$9,$CT$10,$CT$11,$CT$12,$CT$13,$CT$14,$CT$15,$CT$16,$CT$17,$CT$18,$CT$19,$CT$20)</f>
        <v>0</v>
      </c>
      <c r="CU21" s="14">
        <f>SUM($CU$2,$CU$3,$CU$4,$CU$5,$CU$6,$CU$7,$CU$8,$CU$9,$CU$10,$CU$11,$CU$12,$CU$13,$CU$14,$CU$15,$CU$16,$CU$17,$CU$18,$CU$19,$CU$20)</f>
        <v>0</v>
      </c>
      <c r="CV21" s="8">
        <f>SUM($CV$2,$CV$3,$CV$4,$CV$5,$CV$6,$CV$7,$CV$8,$CV$9,$CV$10,$CV$11,$CV$12,$CV$13,$CV$14,$CV$15,$CV$16,$CV$17,$CV$18,$CV$19,$CV$20)</f>
        <v>-1039000</v>
      </c>
      <c r="CW21" s="8">
        <f>SUM($CW$2,$CW$3,$CW$4,$CW$5,$CW$6,$CW$7,$CW$8,$CW$9,$CW$10,$CW$11,$CW$12,$CW$13,$CW$14,$CW$15,$CW$16,$CW$17,$CW$18,$CW$19,$CW$20)</f>
        <v>-1039000</v>
      </c>
      <c r="CX21" s="14">
        <f>SUM($CX$2,$CX$3,$CX$4,$CX$5,$CX$6,$CX$7,$CX$8,$CX$9,$CX$10,$CX$11,$CX$12,$CX$13,$CX$14,$CX$15,$CX$16,$CX$17,$CX$18,$CX$19,$CX$20)</f>
        <v>0</v>
      </c>
      <c r="CY21" s="14">
        <f>SUM($CY$2,$CY$3,$CY$4,$CY$5,$CY$6,$CY$7,$CY$8,$CY$9,$CY$10,$CY$11,$CY$12,$CY$13,$CY$14,$CY$15,$CY$16,$CY$17,$CY$18,$CY$19,$CY$20)</f>
        <v>0</v>
      </c>
      <c r="CZ21" s="14">
        <f>SUM($CZ$2,$CZ$3,$CZ$4,$CZ$5,$CZ$6,$CZ$7,$CZ$8,$CZ$9,$CZ$10,$CZ$11,$CZ$12,$CZ$13,$CZ$14,$CZ$15,$CZ$16,$CZ$17,$CZ$18,$CZ$19,$CZ$20)</f>
        <v>0</v>
      </c>
      <c r="DA21" s="14">
        <f>SUM($DA$2,$DA$3,$DA$4,$DA$5,$DA$6,$DA$7,$DA$8,$DA$9,$DA$10,$DA$11,$DA$12,$DA$13,$DA$14,$DA$15,$DA$16,$DA$17,$DA$18,$DA$19,$DA$20)</f>
        <v>0</v>
      </c>
      <c r="DB21" s="8">
        <f>SUM($DB$2,$DB$3,$DB$4,$DB$5,$DB$6,$DB$7,$DB$8,$DB$9,$DB$10,$DB$11,$DB$12,$DB$13,$DB$14,$DB$15,$DB$16,$DB$17,$DB$18,$DB$19,$DB$20)</f>
        <v>1039000</v>
      </c>
      <c r="DC21" s="8">
        <f>SUM($DC$2,$DC$3,$DC$4,$DC$5,$DC$6,$DC$7,$DC$8,$DC$9,$DC$10,$DC$11,$DC$12,$DC$13,$DC$14,$DC$15,$DC$16,$DC$17,$DC$18,$DC$19,$DC$20)</f>
        <v>1039000</v>
      </c>
    </row>
    <row r="22" spans="1:107" x14ac:dyDescent="0.3">
      <c r="A22" s="4"/>
      <c r="B22" s="4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6"/>
      <c r="P22" s="6"/>
      <c r="Q22" s="7"/>
      <c r="R22" s="7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  <c r="BZ22" s="8"/>
      <c r="CA22" s="8"/>
      <c r="CB22" s="8"/>
      <c r="CC22" s="8"/>
      <c r="CD22" s="8"/>
      <c r="CE22" s="8"/>
      <c r="CF22" s="8"/>
      <c r="CG22" s="8"/>
      <c r="CH22" s="8"/>
      <c r="CI22" s="8"/>
      <c r="CJ22" s="8"/>
      <c r="CK22" s="8"/>
      <c r="CL22" s="8"/>
      <c r="CM22" s="8"/>
      <c r="CN22" s="8"/>
      <c r="CO22" s="8"/>
      <c r="CP22" s="9"/>
      <c r="CQ22" s="9"/>
      <c r="CR22" s="8"/>
      <c r="CS22" s="8"/>
      <c r="CT22" s="8"/>
      <c r="CU22" s="8"/>
      <c r="CV22" s="8"/>
      <c r="CW22" s="8"/>
      <c r="CX22" s="8"/>
      <c r="CY22" s="8"/>
      <c r="CZ22" s="8"/>
      <c r="DA22" s="8"/>
      <c r="DB22" s="8"/>
      <c r="DC22" s="8"/>
    </row>
    <row r="23" spans="1:107" x14ac:dyDescent="0.3">
      <c r="A23" s="10" t="s">
        <v>127</v>
      </c>
      <c r="B23" s="10"/>
      <c r="C23" s="11" t="s">
        <v>165</v>
      </c>
      <c r="D23" s="11" t="s">
        <v>107</v>
      </c>
      <c r="E23" s="11" t="s">
        <v>166</v>
      </c>
      <c r="F23" s="11" t="s">
        <v>167</v>
      </c>
      <c r="G23" s="11"/>
      <c r="H23" s="11" t="s">
        <v>168</v>
      </c>
      <c r="I23" s="11">
        <v>5842263202</v>
      </c>
      <c r="J23" s="11" t="s">
        <v>110</v>
      </c>
      <c r="K23" s="11" t="s">
        <v>168</v>
      </c>
      <c r="L23" s="11" t="s">
        <v>168</v>
      </c>
      <c r="M23" s="11" t="s">
        <v>163</v>
      </c>
      <c r="N23" s="11" t="s">
        <v>129</v>
      </c>
      <c r="O23" s="12" t="s">
        <v>114</v>
      </c>
      <c r="P23" s="12"/>
      <c r="Q23" s="13"/>
      <c r="R23" s="13"/>
      <c r="S23" s="14">
        <v>0</v>
      </c>
      <c r="T23" s="14">
        <v>0</v>
      </c>
      <c r="U23" s="8">
        <v>0</v>
      </c>
      <c r="V23" s="8">
        <v>0</v>
      </c>
      <c r="W23" s="14">
        <v>0</v>
      </c>
      <c r="X23" s="14">
        <v>0</v>
      </c>
      <c r="Y23" s="14">
        <v>0</v>
      </c>
      <c r="Z23" s="14">
        <v>0</v>
      </c>
      <c r="AA23" s="14">
        <v>0</v>
      </c>
      <c r="AB23" s="8">
        <v>5000</v>
      </c>
      <c r="AC23" s="8">
        <v>5000</v>
      </c>
      <c r="AD23" s="14">
        <v>5</v>
      </c>
      <c r="AE23" s="14">
        <v>0</v>
      </c>
      <c r="AF23" s="14">
        <v>0</v>
      </c>
      <c r="AG23" s="14">
        <v>0</v>
      </c>
      <c r="AH23" s="8">
        <v>0</v>
      </c>
      <c r="AI23" s="8">
        <v>5000</v>
      </c>
      <c r="AJ23" s="8">
        <v>5000</v>
      </c>
      <c r="AK23" s="14">
        <v>5</v>
      </c>
      <c r="AL23" s="14">
        <v>0</v>
      </c>
      <c r="AM23" s="14">
        <v>0</v>
      </c>
      <c r="AN23" s="14">
        <v>0</v>
      </c>
      <c r="AO23" s="8">
        <v>0</v>
      </c>
      <c r="AP23" s="8">
        <v>5000</v>
      </c>
      <c r="AQ23" s="8">
        <v>5000</v>
      </c>
      <c r="AR23" s="14">
        <v>5</v>
      </c>
      <c r="AS23" s="14">
        <v>0</v>
      </c>
      <c r="AT23" s="14">
        <v>0</v>
      </c>
      <c r="AU23" s="14">
        <v>0</v>
      </c>
      <c r="AV23" s="8">
        <v>0</v>
      </c>
      <c r="AW23" s="8">
        <v>5000</v>
      </c>
      <c r="AX23" s="8">
        <v>5000</v>
      </c>
      <c r="AY23" s="14">
        <v>5</v>
      </c>
      <c r="AZ23" s="14">
        <v>0</v>
      </c>
      <c r="BA23" s="14">
        <v>0</v>
      </c>
      <c r="BB23" s="14">
        <v>0</v>
      </c>
      <c r="BC23" s="8">
        <v>0</v>
      </c>
      <c r="BD23" s="8">
        <v>5000</v>
      </c>
      <c r="BE23" s="8">
        <v>5000</v>
      </c>
      <c r="BF23" s="14">
        <v>5</v>
      </c>
      <c r="BG23" s="14">
        <v>0</v>
      </c>
      <c r="BH23" s="14">
        <v>0</v>
      </c>
      <c r="BI23" s="14">
        <v>0</v>
      </c>
      <c r="BJ23" s="8">
        <v>0</v>
      </c>
      <c r="BK23" s="8">
        <v>5000</v>
      </c>
      <c r="BL23" s="8">
        <v>5000</v>
      </c>
      <c r="BM23" s="14">
        <v>5</v>
      </c>
      <c r="BN23" s="14">
        <v>0</v>
      </c>
      <c r="BO23" s="14">
        <v>0</v>
      </c>
      <c r="BP23" s="8">
        <v>5000</v>
      </c>
      <c r="BQ23" s="8">
        <v>5000</v>
      </c>
      <c r="BR23" s="14">
        <v>5</v>
      </c>
      <c r="BS23" s="14">
        <v>0</v>
      </c>
      <c r="BT23" s="14">
        <v>0</v>
      </c>
      <c r="BU23" s="8">
        <v>5000</v>
      </c>
      <c r="BV23" s="8">
        <v>5000</v>
      </c>
      <c r="BW23" s="14">
        <v>5</v>
      </c>
      <c r="BX23" s="14">
        <v>0</v>
      </c>
      <c r="BY23" s="14">
        <v>0</v>
      </c>
      <c r="BZ23" s="8">
        <v>5000</v>
      </c>
      <c r="CA23" s="8">
        <v>5000</v>
      </c>
      <c r="CB23" s="14">
        <v>5</v>
      </c>
      <c r="CC23" s="14">
        <v>0</v>
      </c>
      <c r="CD23" s="14">
        <v>0</v>
      </c>
      <c r="CE23" s="8">
        <v>5000</v>
      </c>
      <c r="CF23" s="8">
        <v>5000</v>
      </c>
      <c r="CG23" s="14">
        <v>5</v>
      </c>
      <c r="CH23" s="14">
        <v>0</v>
      </c>
      <c r="CI23" s="14">
        <v>0</v>
      </c>
      <c r="CJ23" s="8">
        <v>5000</v>
      </c>
      <c r="CK23" s="8">
        <v>5000</v>
      </c>
      <c r="CL23" s="14">
        <v>5</v>
      </c>
      <c r="CM23" s="14">
        <v>0</v>
      </c>
      <c r="CN23" s="14">
        <v>0</v>
      </c>
      <c r="CO23" s="14">
        <v>0</v>
      </c>
      <c r="CP23" s="9">
        <v>55000</v>
      </c>
      <c r="CQ23" s="9">
        <v>55000</v>
      </c>
      <c r="CR23" s="14">
        <v>4.5999999999999996</v>
      </c>
      <c r="CS23" s="14">
        <v>0</v>
      </c>
      <c r="CT23" s="14">
        <v>0</v>
      </c>
      <c r="CU23" s="14">
        <v>0</v>
      </c>
      <c r="CV23" s="8">
        <v>-55000</v>
      </c>
      <c r="CW23" s="8">
        <v>-55000</v>
      </c>
      <c r="CX23" s="14">
        <v>0</v>
      </c>
      <c r="CY23" s="14">
        <v>0</v>
      </c>
      <c r="CZ23" s="14">
        <v>0</v>
      </c>
      <c r="DA23" s="14">
        <v>0</v>
      </c>
      <c r="DB23" s="8">
        <v>55000</v>
      </c>
      <c r="DC23" s="8">
        <v>55000</v>
      </c>
    </row>
    <row r="24" spans="1:107" x14ac:dyDescent="0.3">
      <c r="A24" s="4" t="s">
        <v>127</v>
      </c>
      <c r="B24" s="4"/>
      <c r="C24" s="5" t="s">
        <v>165</v>
      </c>
      <c r="D24" s="5" t="s">
        <v>107</v>
      </c>
      <c r="E24" s="5" t="s">
        <v>108</v>
      </c>
      <c r="F24" s="5" t="s">
        <v>169</v>
      </c>
      <c r="G24" s="5"/>
      <c r="H24" s="5" t="s">
        <v>170</v>
      </c>
      <c r="I24" s="5">
        <v>5841813202</v>
      </c>
      <c r="J24" s="5" t="s">
        <v>110</v>
      </c>
      <c r="K24" s="5" t="s">
        <v>170</v>
      </c>
      <c r="L24" s="5" t="s">
        <v>170</v>
      </c>
      <c r="M24" s="5" t="s">
        <v>163</v>
      </c>
      <c r="N24" s="5" t="s">
        <v>113</v>
      </c>
      <c r="O24" s="6" t="s">
        <v>114</v>
      </c>
      <c r="P24" s="6"/>
      <c r="Q24" s="7"/>
      <c r="R24" s="7"/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8">
        <v>0</v>
      </c>
      <c r="AH24" s="8">
        <v>0</v>
      </c>
      <c r="AI24" s="8">
        <v>0</v>
      </c>
      <c r="AJ24" s="8">
        <v>0</v>
      </c>
      <c r="AK24" s="8">
        <v>0</v>
      </c>
      <c r="AL24" s="8">
        <v>0</v>
      </c>
      <c r="AM24" s="8">
        <v>0</v>
      </c>
      <c r="AN24" s="8">
        <v>0</v>
      </c>
      <c r="AO24" s="8">
        <v>0</v>
      </c>
      <c r="AP24" s="8">
        <v>0</v>
      </c>
      <c r="AQ24" s="8">
        <v>0</v>
      </c>
      <c r="AR24" s="8">
        <v>0</v>
      </c>
      <c r="AS24" s="8">
        <v>0</v>
      </c>
      <c r="AT24" s="8">
        <v>0</v>
      </c>
      <c r="AU24" s="8">
        <v>0</v>
      </c>
      <c r="AV24" s="8">
        <v>0</v>
      </c>
      <c r="AW24" s="8">
        <v>0</v>
      </c>
      <c r="AX24" s="8">
        <v>0</v>
      </c>
      <c r="AY24" s="8">
        <v>0</v>
      </c>
      <c r="AZ24" s="8">
        <v>0</v>
      </c>
      <c r="BA24" s="8">
        <v>0</v>
      </c>
      <c r="BB24" s="8">
        <v>0</v>
      </c>
      <c r="BC24" s="8">
        <v>0</v>
      </c>
      <c r="BD24" s="8">
        <v>0</v>
      </c>
      <c r="BE24" s="8">
        <v>0</v>
      </c>
      <c r="BF24" s="8">
        <v>0</v>
      </c>
      <c r="BG24" s="8">
        <v>0</v>
      </c>
      <c r="BH24" s="8">
        <v>0</v>
      </c>
      <c r="BI24" s="8">
        <v>0</v>
      </c>
      <c r="BJ24" s="8">
        <v>0</v>
      </c>
      <c r="BK24" s="8">
        <v>0</v>
      </c>
      <c r="BL24" s="8">
        <v>0</v>
      </c>
      <c r="BM24" s="8">
        <v>0</v>
      </c>
      <c r="BN24" s="8">
        <v>0</v>
      </c>
      <c r="BO24" s="8">
        <v>0</v>
      </c>
      <c r="BP24" s="8">
        <v>4000</v>
      </c>
      <c r="BQ24" s="8">
        <v>4000</v>
      </c>
      <c r="BR24" s="8">
        <v>4</v>
      </c>
      <c r="BS24" s="8">
        <v>0</v>
      </c>
      <c r="BT24" s="8">
        <v>0</v>
      </c>
      <c r="BU24" s="8">
        <v>4000</v>
      </c>
      <c r="BV24" s="8">
        <v>4000</v>
      </c>
      <c r="BW24" s="8">
        <v>4</v>
      </c>
      <c r="BX24" s="8">
        <v>0</v>
      </c>
      <c r="BY24" s="8">
        <v>0</v>
      </c>
      <c r="BZ24" s="8">
        <v>4000</v>
      </c>
      <c r="CA24" s="8">
        <v>4000</v>
      </c>
      <c r="CB24" s="8">
        <v>4</v>
      </c>
      <c r="CC24" s="8">
        <v>0</v>
      </c>
      <c r="CD24" s="8">
        <v>0</v>
      </c>
      <c r="CE24" s="8">
        <v>4000</v>
      </c>
      <c r="CF24" s="8">
        <v>4000</v>
      </c>
      <c r="CG24" s="8">
        <v>4</v>
      </c>
      <c r="CH24" s="8">
        <v>0</v>
      </c>
      <c r="CI24" s="8">
        <v>0</v>
      </c>
      <c r="CJ24" s="8">
        <v>4000</v>
      </c>
      <c r="CK24" s="8">
        <v>4000</v>
      </c>
      <c r="CL24" s="8">
        <v>4</v>
      </c>
      <c r="CM24" s="8">
        <v>0</v>
      </c>
      <c r="CN24" s="8">
        <v>0</v>
      </c>
      <c r="CO24" s="8">
        <v>0</v>
      </c>
      <c r="CP24" s="9">
        <v>20000</v>
      </c>
      <c r="CQ24" s="9">
        <v>20000</v>
      </c>
      <c r="CR24" s="8">
        <v>2</v>
      </c>
      <c r="CS24" s="8">
        <v>0</v>
      </c>
      <c r="CT24" s="8">
        <v>0</v>
      </c>
      <c r="CU24" s="8">
        <v>0</v>
      </c>
      <c r="CV24" s="8">
        <v>-20000</v>
      </c>
      <c r="CW24" s="8">
        <v>-20000</v>
      </c>
      <c r="CX24" s="8">
        <v>0</v>
      </c>
      <c r="CY24" s="8">
        <v>0</v>
      </c>
      <c r="CZ24" s="8">
        <v>0</v>
      </c>
      <c r="DA24" s="8">
        <v>0</v>
      </c>
      <c r="DB24" s="8">
        <v>20000</v>
      </c>
      <c r="DC24" s="8">
        <v>20000</v>
      </c>
    </row>
    <row r="25" spans="1:107" x14ac:dyDescent="0.3">
      <c r="A25" s="10" t="s">
        <v>127</v>
      </c>
      <c r="B25" s="10"/>
      <c r="C25" s="11" t="s">
        <v>165</v>
      </c>
      <c r="D25" s="11" t="s">
        <v>107</v>
      </c>
      <c r="E25" s="11" t="s">
        <v>166</v>
      </c>
      <c r="F25" s="11" t="s">
        <v>167</v>
      </c>
      <c r="G25" s="11"/>
      <c r="H25" s="11" t="s">
        <v>168</v>
      </c>
      <c r="I25" s="11">
        <v>5842263202</v>
      </c>
      <c r="J25" s="11" t="s">
        <v>110</v>
      </c>
      <c r="K25" s="11" t="s">
        <v>168</v>
      </c>
      <c r="L25" s="11" t="s">
        <v>168</v>
      </c>
      <c r="M25" s="11" t="s">
        <v>163</v>
      </c>
      <c r="N25" s="11" t="s">
        <v>129</v>
      </c>
      <c r="O25" s="12" t="s">
        <v>114</v>
      </c>
      <c r="P25" s="12"/>
      <c r="Q25" s="13"/>
      <c r="R25" s="13"/>
      <c r="S25" s="14">
        <v>0</v>
      </c>
      <c r="T25" s="14">
        <v>0</v>
      </c>
      <c r="U25" s="8">
        <v>0</v>
      </c>
      <c r="V25" s="8">
        <v>0</v>
      </c>
      <c r="W25" s="14">
        <v>0</v>
      </c>
      <c r="X25" s="14">
        <v>0</v>
      </c>
      <c r="Y25" s="14">
        <v>0</v>
      </c>
      <c r="Z25" s="14">
        <v>0</v>
      </c>
      <c r="AA25" s="14">
        <v>0</v>
      </c>
      <c r="AB25" s="8">
        <v>5000</v>
      </c>
      <c r="AC25" s="8">
        <v>5000</v>
      </c>
      <c r="AD25" s="14">
        <v>5</v>
      </c>
      <c r="AE25" s="14">
        <v>0</v>
      </c>
      <c r="AF25" s="14">
        <v>0</v>
      </c>
      <c r="AG25" s="14">
        <v>0</v>
      </c>
      <c r="AH25" s="8">
        <v>0</v>
      </c>
      <c r="AI25" s="8">
        <v>5000</v>
      </c>
      <c r="AJ25" s="8">
        <v>5000</v>
      </c>
      <c r="AK25" s="14">
        <v>5</v>
      </c>
      <c r="AL25" s="14">
        <v>0</v>
      </c>
      <c r="AM25" s="14">
        <v>0</v>
      </c>
      <c r="AN25" s="14">
        <v>0</v>
      </c>
      <c r="AO25" s="8">
        <v>0</v>
      </c>
      <c r="AP25" s="8">
        <v>5000</v>
      </c>
      <c r="AQ25" s="8">
        <v>5000</v>
      </c>
      <c r="AR25" s="14">
        <v>5</v>
      </c>
      <c r="AS25" s="14">
        <v>0</v>
      </c>
      <c r="AT25" s="14">
        <v>0</v>
      </c>
      <c r="AU25" s="14">
        <v>0</v>
      </c>
      <c r="AV25" s="8">
        <v>0</v>
      </c>
      <c r="AW25" s="8">
        <v>5000</v>
      </c>
      <c r="AX25" s="8">
        <v>5000</v>
      </c>
      <c r="AY25" s="14">
        <v>5</v>
      </c>
      <c r="AZ25" s="14">
        <v>0</v>
      </c>
      <c r="BA25" s="14">
        <v>0</v>
      </c>
      <c r="BB25" s="14">
        <v>0</v>
      </c>
      <c r="BC25" s="8">
        <v>0</v>
      </c>
      <c r="BD25" s="8">
        <v>5000</v>
      </c>
      <c r="BE25" s="8">
        <v>5000</v>
      </c>
      <c r="BF25" s="14">
        <v>5</v>
      </c>
      <c r="BG25" s="14">
        <v>0</v>
      </c>
      <c r="BH25" s="14">
        <v>0</v>
      </c>
      <c r="BI25" s="14">
        <v>0</v>
      </c>
      <c r="BJ25" s="8">
        <v>0</v>
      </c>
      <c r="BK25" s="8">
        <v>5000</v>
      </c>
      <c r="BL25" s="8">
        <v>5000</v>
      </c>
      <c r="BM25" s="14">
        <v>5</v>
      </c>
      <c r="BN25" s="14">
        <v>0</v>
      </c>
      <c r="BO25" s="14">
        <v>0</v>
      </c>
      <c r="BP25" s="8">
        <v>5000</v>
      </c>
      <c r="BQ25" s="8">
        <v>5000</v>
      </c>
      <c r="BR25" s="14">
        <v>5</v>
      </c>
      <c r="BS25" s="14">
        <v>0</v>
      </c>
      <c r="BT25" s="14">
        <v>0</v>
      </c>
      <c r="BU25" s="8">
        <v>5000</v>
      </c>
      <c r="BV25" s="8">
        <v>5000</v>
      </c>
      <c r="BW25" s="14">
        <v>5</v>
      </c>
      <c r="BX25" s="14">
        <v>0</v>
      </c>
      <c r="BY25" s="14">
        <v>0</v>
      </c>
      <c r="BZ25" s="8">
        <v>5000</v>
      </c>
      <c r="CA25" s="8">
        <v>5000</v>
      </c>
      <c r="CB25" s="14">
        <v>5</v>
      </c>
      <c r="CC25" s="14">
        <v>0</v>
      </c>
      <c r="CD25" s="14">
        <v>0</v>
      </c>
      <c r="CE25" s="8">
        <v>5000</v>
      </c>
      <c r="CF25" s="8">
        <v>5000</v>
      </c>
      <c r="CG25" s="14">
        <v>5</v>
      </c>
      <c r="CH25" s="14">
        <v>0</v>
      </c>
      <c r="CI25" s="14">
        <v>0</v>
      </c>
      <c r="CJ25" s="8">
        <v>5000</v>
      </c>
      <c r="CK25" s="8">
        <v>5000</v>
      </c>
      <c r="CL25" s="14">
        <v>5</v>
      </c>
      <c r="CM25" s="14">
        <v>0</v>
      </c>
      <c r="CN25" s="14">
        <v>0</v>
      </c>
      <c r="CO25" s="14">
        <v>0</v>
      </c>
      <c r="CP25" s="9">
        <v>55000</v>
      </c>
      <c r="CQ25" s="9">
        <v>55000</v>
      </c>
      <c r="CR25" s="14">
        <v>4.5999999999999996</v>
      </c>
      <c r="CS25" s="14">
        <v>0</v>
      </c>
      <c r="CT25" s="14">
        <v>0</v>
      </c>
      <c r="CU25" s="14">
        <v>0</v>
      </c>
      <c r="CV25" s="8">
        <v>-55000</v>
      </c>
      <c r="CW25" s="8">
        <v>-55000</v>
      </c>
      <c r="CX25" s="14">
        <v>0</v>
      </c>
      <c r="CY25" s="14">
        <v>0</v>
      </c>
      <c r="CZ25" s="14">
        <v>0</v>
      </c>
      <c r="DA25" s="14">
        <v>0</v>
      </c>
      <c r="DB25" s="8">
        <v>55000</v>
      </c>
      <c r="DC25" s="8">
        <v>55000</v>
      </c>
    </row>
    <row r="26" spans="1:107" x14ac:dyDescent="0.3">
      <c r="A26" s="4" t="s">
        <v>127</v>
      </c>
      <c r="B26" s="4"/>
      <c r="C26" s="5" t="s">
        <v>165</v>
      </c>
      <c r="D26" s="5" t="s">
        <v>107</v>
      </c>
      <c r="E26" s="5" t="s">
        <v>108</v>
      </c>
      <c r="F26" s="5" t="s">
        <v>169</v>
      </c>
      <c r="G26" s="5"/>
      <c r="H26" s="5" t="s">
        <v>170</v>
      </c>
      <c r="I26" s="5">
        <v>5841813202</v>
      </c>
      <c r="J26" s="5" t="s">
        <v>110</v>
      </c>
      <c r="K26" s="5" t="s">
        <v>170</v>
      </c>
      <c r="L26" s="5" t="s">
        <v>170</v>
      </c>
      <c r="M26" s="5" t="s">
        <v>163</v>
      </c>
      <c r="N26" s="5" t="s">
        <v>113</v>
      </c>
      <c r="O26" s="6" t="s">
        <v>114</v>
      </c>
      <c r="P26" s="6"/>
      <c r="Q26" s="7"/>
      <c r="R26" s="7"/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8">
        <v>0</v>
      </c>
      <c r="AN26" s="8">
        <v>0</v>
      </c>
      <c r="AO26" s="8">
        <v>0</v>
      </c>
      <c r="AP26" s="8">
        <v>0</v>
      </c>
      <c r="AQ26" s="8">
        <v>0</v>
      </c>
      <c r="AR26" s="8">
        <v>0</v>
      </c>
      <c r="AS26" s="8">
        <v>0</v>
      </c>
      <c r="AT26" s="8">
        <v>0</v>
      </c>
      <c r="AU26" s="8">
        <v>0</v>
      </c>
      <c r="AV26" s="8">
        <v>0</v>
      </c>
      <c r="AW26" s="8">
        <v>0</v>
      </c>
      <c r="AX26" s="8">
        <v>0</v>
      </c>
      <c r="AY26" s="8">
        <v>0</v>
      </c>
      <c r="AZ26" s="8">
        <v>0</v>
      </c>
      <c r="BA26" s="8">
        <v>0</v>
      </c>
      <c r="BB26" s="8">
        <v>0</v>
      </c>
      <c r="BC26" s="8">
        <v>0</v>
      </c>
      <c r="BD26" s="8">
        <v>0</v>
      </c>
      <c r="BE26" s="8">
        <v>0</v>
      </c>
      <c r="BF26" s="8">
        <v>0</v>
      </c>
      <c r="BG26" s="8">
        <v>0</v>
      </c>
      <c r="BH26" s="8">
        <v>0</v>
      </c>
      <c r="BI26" s="8">
        <v>0</v>
      </c>
      <c r="BJ26" s="8">
        <v>0</v>
      </c>
      <c r="BK26" s="8">
        <v>0</v>
      </c>
      <c r="BL26" s="8">
        <v>0</v>
      </c>
      <c r="BM26" s="8">
        <v>0</v>
      </c>
      <c r="BN26" s="8">
        <v>0</v>
      </c>
      <c r="BO26" s="8">
        <v>0</v>
      </c>
      <c r="BP26" s="8">
        <v>4000</v>
      </c>
      <c r="BQ26" s="8">
        <v>4000</v>
      </c>
      <c r="BR26" s="8">
        <v>4</v>
      </c>
      <c r="BS26" s="8">
        <v>0</v>
      </c>
      <c r="BT26" s="8">
        <v>0</v>
      </c>
      <c r="BU26" s="8">
        <v>4000</v>
      </c>
      <c r="BV26" s="8">
        <v>4000</v>
      </c>
      <c r="BW26" s="8">
        <v>4</v>
      </c>
      <c r="BX26" s="8">
        <v>0</v>
      </c>
      <c r="BY26" s="8">
        <v>0</v>
      </c>
      <c r="BZ26" s="8">
        <v>4000</v>
      </c>
      <c r="CA26" s="8">
        <v>4000</v>
      </c>
      <c r="CB26" s="8">
        <v>4</v>
      </c>
      <c r="CC26" s="8">
        <v>0</v>
      </c>
      <c r="CD26" s="8">
        <v>0</v>
      </c>
      <c r="CE26" s="8">
        <v>4000</v>
      </c>
      <c r="CF26" s="8">
        <v>4000</v>
      </c>
      <c r="CG26" s="8">
        <v>4</v>
      </c>
      <c r="CH26" s="8">
        <v>0</v>
      </c>
      <c r="CI26" s="8">
        <v>0</v>
      </c>
      <c r="CJ26" s="8">
        <v>4000</v>
      </c>
      <c r="CK26" s="8">
        <v>4000</v>
      </c>
      <c r="CL26" s="8">
        <v>4</v>
      </c>
      <c r="CM26" s="8">
        <v>0</v>
      </c>
      <c r="CN26" s="8">
        <v>0</v>
      </c>
      <c r="CO26" s="8">
        <v>0</v>
      </c>
      <c r="CP26" s="9">
        <v>20000</v>
      </c>
      <c r="CQ26" s="9">
        <v>20000</v>
      </c>
      <c r="CR26" s="8">
        <v>2</v>
      </c>
      <c r="CS26" s="8">
        <v>0</v>
      </c>
      <c r="CT26" s="8">
        <v>0</v>
      </c>
      <c r="CU26" s="8">
        <v>0</v>
      </c>
      <c r="CV26" s="8">
        <v>-20000</v>
      </c>
      <c r="CW26" s="8">
        <v>-20000</v>
      </c>
      <c r="CX26" s="8">
        <v>0</v>
      </c>
      <c r="CY26" s="8">
        <v>0</v>
      </c>
      <c r="CZ26" s="8">
        <v>0</v>
      </c>
      <c r="DA26" s="8">
        <v>0</v>
      </c>
      <c r="DB26" s="8">
        <v>20000</v>
      </c>
      <c r="DC26" s="8">
        <v>20000</v>
      </c>
    </row>
    <row r="27" spans="1:107" x14ac:dyDescent="0.3">
      <c r="A27" s="10"/>
      <c r="B27" s="10"/>
      <c r="C27" s="11"/>
      <c r="D27" s="11" t="s">
        <v>171</v>
      </c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2"/>
      <c r="P27" s="12"/>
      <c r="Q27" s="13"/>
      <c r="R27" s="13"/>
      <c r="S27" s="14">
        <f>SUM($S$23:$S$26)</f>
        <v>0</v>
      </c>
      <c r="T27" s="14">
        <f>SUM($T$23:$T$26)</f>
        <v>0</v>
      </c>
      <c r="U27" s="8">
        <f>SUM($U$23:$U$26)</f>
        <v>0</v>
      </c>
      <c r="V27" s="8">
        <f>SUM($V$23:$V$26)</f>
        <v>0</v>
      </c>
      <c r="W27" s="14">
        <f>SUM($W$23:$W$26)</f>
        <v>0</v>
      </c>
      <c r="X27" s="14">
        <f>SUM($X$23:$X$26)</f>
        <v>0</v>
      </c>
      <c r="Y27" s="14">
        <f>SUM($Y$23:$Y$26)</f>
        <v>0</v>
      </c>
      <c r="Z27" s="14">
        <f>SUM($Z$23:$Z$26)</f>
        <v>0</v>
      </c>
      <c r="AA27" s="14">
        <f>SUM($AA$23:$AA$26)</f>
        <v>0</v>
      </c>
      <c r="AB27" s="8">
        <f>SUM($AB$23:$AB$26)</f>
        <v>10000</v>
      </c>
      <c r="AC27" s="8">
        <f>SUM($AC$23:$AC$26)</f>
        <v>10000</v>
      </c>
      <c r="AD27" s="14">
        <f>SUM($AD$23:$AD$26)</f>
        <v>10</v>
      </c>
      <c r="AE27" s="14">
        <f>SUM($AE$23:$AE$26)</f>
        <v>0</v>
      </c>
      <c r="AF27" s="14">
        <f>SUM($AF$23:$AF$26)</f>
        <v>0</v>
      </c>
      <c r="AG27" s="14">
        <f>SUM($AG$23:$AG$26)</f>
        <v>0</v>
      </c>
      <c r="AH27" s="8">
        <f>SUM($AH$23:$AH$26)</f>
        <v>0</v>
      </c>
      <c r="AI27" s="8">
        <f>SUM($AI$23:$AI$26)</f>
        <v>10000</v>
      </c>
      <c r="AJ27" s="8">
        <f>SUM($AJ$23:$AJ$26)</f>
        <v>10000</v>
      </c>
      <c r="AK27" s="14">
        <f>SUM($AK$23:$AK$26)</f>
        <v>10</v>
      </c>
      <c r="AL27" s="14">
        <f>SUM($AL$23:$AL$26)</f>
        <v>0</v>
      </c>
      <c r="AM27" s="14">
        <f>SUM($AM$23:$AM$26)</f>
        <v>0</v>
      </c>
      <c r="AN27" s="14">
        <f>SUM($AN$23:$AN$26)</f>
        <v>0</v>
      </c>
      <c r="AO27" s="8">
        <f>SUM($AO$23:$AO$26)</f>
        <v>0</v>
      </c>
      <c r="AP27" s="8">
        <f>SUM($AP$23:$AP$26)</f>
        <v>10000</v>
      </c>
      <c r="AQ27" s="8">
        <f>SUM($AQ$23:$AQ$26)</f>
        <v>10000</v>
      </c>
      <c r="AR27" s="14">
        <f>SUM($AR$23:$AR$26)</f>
        <v>10</v>
      </c>
      <c r="AS27" s="14">
        <f>SUM($AS$23:$AS$26)</f>
        <v>0</v>
      </c>
      <c r="AT27" s="14">
        <f>SUM($AT$23:$AT$26)</f>
        <v>0</v>
      </c>
      <c r="AU27" s="14">
        <f>SUM($AU$23:$AU$26)</f>
        <v>0</v>
      </c>
      <c r="AV27" s="8">
        <f>SUM($AV$23:$AV$26)</f>
        <v>0</v>
      </c>
      <c r="AW27" s="8">
        <f>SUM($AW$23:$AW$26)</f>
        <v>10000</v>
      </c>
      <c r="AX27" s="8">
        <f>SUM($AX$23:$AX$26)</f>
        <v>10000</v>
      </c>
      <c r="AY27" s="14">
        <f>SUM($AY$23:$AY$26)</f>
        <v>10</v>
      </c>
      <c r="AZ27" s="14">
        <f>SUM($AZ$23:$AZ$26)</f>
        <v>0</v>
      </c>
      <c r="BA27" s="14">
        <f>SUM($BA$23:$BA$26)</f>
        <v>0</v>
      </c>
      <c r="BB27" s="14">
        <f>SUM($BB$23:$BB$26)</f>
        <v>0</v>
      </c>
      <c r="BC27" s="8">
        <f>SUM($BC$23:$BC$26)</f>
        <v>0</v>
      </c>
      <c r="BD27" s="8">
        <f>SUM($BD$23:$BD$26)</f>
        <v>10000</v>
      </c>
      <c r="BE27" s="8">
        <f>SUM($BE$23:$BE$26)</f>
        <v>10000</v>
      </c>
      <c r="BF27" s="14">
        <f>SUM($BF$23:$BF$26)</f>
        <v>10</v>
      </c>
      <c r="BG27" s="14">
        <f>SUM($BG$23:$BG$26)</f>
        <v>0</v>
      </c>
      <c r="BH27" s="14">
        <f>SUM($BH$23:$BH$26)</f>
        <v>0</v>
      </c>
      <c r="BI27" s="14">
        <f>SUM($BI$23:$BI$26)</f>
        <v>0</v>
      </c>
      <c r="BJ27" s="8">
        <f>SUM($BJ$23:$BJ$26)</f>
        <v>0</v>
      </c>
      <c r="BK27" s="8">
        <f>SUM($BK$23:$BK$26)</f>
        <v>10000</v>
      </c>
      <c r="BL27" s="8">
        <f>SUM($BL$23:$BL$26)</f>
        <v>10000</v>
      </c>
      <c r="BM27" s="14">
        <f>SUM($BM$23:$BM$26)</f>
        <v>10</v>
      </c>
      <c r="BN27" s="14">
        <f>SUM($BN$23:$BN$26)</f>
        <v>0</v>
      </c>
      <c r="BO27" s="14">
        <f>SUM($BO$23:$BO$26)</f>
        <v>0</v>
      </c>
      <c r="BP27" s="8">
        <f>SUM($BP$23:$BP$26)</f>
        <v>18000</v>
      </c>
      <c r="BQ27" s="8">
        <f>SUM($BQ$23:$BQ$26)</f>
        <v>18000</v>
      </c>
      <c r="BR27" s="14">
        <f>SUM($BR$23:$BR$26)</f>
        <v>18</v>
      </c>
      <c r="BS27" s="14">
        <f>SUM($BS$23:$BS$26)</f>
        <v>0</v>
      </c>
      <c r="BT27" s="14">
        <f>SUM($BT$23:$BT$26)</f>
        <v>0</v>
      </c>
      <c r="BU27" s="8">
        <f>SUM($BU$23:$BU$26)</f>
        <v>18000</v>
      </c>
      <c r="BV27" s="8">
        <f>SUM($BV$23:$BV$26)</f>
        <v>18000</v>
      </c>
      <c r="BW27" s="14">
        <f>SUM($BW$23:$BW$26)</f>
        <v>18</v>
      </c>
      <c r="BX27" s="14">
        <f>SUM($BX$23:$BX$26)</f>
        <v>0</v>
      </c>
      <c r="BY27" s="14">
        <f>SUM($BY$23:$BY$26)</f>
        <v>0</v>
      </c>
      <c r="BZ27" s="8">
        <f>SUM($BZ$23:$BZ$26)</f>
        <v>18000</v>
      </c>
      <c r="CA27" s="8">
        <f>SUM($CA$23:$CA$26)</f>
        <v>18000</v>
      </c>
      <c r="CB27" s="14">
        <f>SUM($CB$23:$CB$26)</f>
        <v>18</v>
      </c>
      <c r="CC27" s="14">
        <f>SUM($CC$23:$CC$26)</f>
        <v>0</v>
      </c>
      <c r="CD27" s="14">
        <f>SUM($CD$23:$CD$26)</f>
        <v>0</v>
      </c>
      <c r="CE27" s="8">
        <f>SUM($CE$23:$CE$26)</f>
        <v>18000</v>
      </c>
      <c r="CF27" s="8">
        <f>SUM($CF$23:$CF$26)</f>
        <v>18000</v>
      </c>
      <c r="CG27" s="14">
        <f>SUM($CG$23:$CG$26)</f>
        <v>18</v>
      </c>
      <c r="CH27" s="14">
        <f>SUM($CH$23:$CH$26)</f>
        <v>0</v>
      </c>
      <c r="CI27" s="14">
        <f>SUM($CI$23:$CI$26)</f>
        <v>0</v>
      </c>
      <c r="CJ27" s="8">
        <f>SUM($CJ$23:$CJ$26)</f>
        <v>18000</v>
      </c>
      <c r="CK27" s="8">
        <f>SUM($CK$23:$CK$26)</f>
        <v>18000</v>
      </c>
      <c r="CL27" s="14">
        <f>SUM($CL$23:$CL$26)</f>
        <v>18</v>
      </c>
      <c r="CM27" s="14">
        <f>SUM($CM$23:$CM$26)</f>
        <v>0</v>
      </c>
      <c r="CN27" s="14">
        <f>SUM($CN$23:$CN$26)</f>
        <v>0</v>
      </c>
      <c r="CO27" s="14">
        <f>SUM($CO$23:$CO$26)</f>
        <v>0</v>
      </c>
      <c r="CP27" s="9">
        <f>SUM($CP$23:$CP$26)</f>
        <v>150000</v>
      </c>
      <c r="CQ27" s="9">
        <f>SUM($CQ$23:$CQ$26)</f>
        <v>150000</v>
      </c>
      <c r="CR27" s="14">
        <f>SUM($CR$23:$CR$26)</f>
        <v>13.2</v>
      </c>
      <c r="CS27" s="14">
        <f>SUM($CS$23:$CS$26)</f>
        <v>0</v>
      </c>
      <c r="CT27" s="14">
        <f>SUM($CT$23:$CT$26)</f>
        <v>0</v>
      </c>
      <c r="CU27" s="14">
        <f>SUM($CU$23:$CU$26)</f>
        <v>0</v>
      </c>
      <c r="CV27" s="8">
        <f>SUM($CV$23:$CV$26)</f>
        <v>-150000</v>
      </c>
      <c r="CW27" s="8">
        <f>SUM($CW$23:$CW$26)</f>
        <v>-150000</v>
      </c>
      <c r="CX27" s="14">
        <f>SUM($CX$23:$CX$26)</f>
        <v>0</v>
      </c>
      <c r="CY27" s="14">
        <f>SUM($CY$23:$CY$26)</f>
        <v>0</v>
      </c>
      <c r="CZ27" s="14">
        <f>SUM($CZ$23:$CZ$26)</f>
        <v>0</v>
      </c>
      <c r="DA27" s="14">
        <f>SUM($DA$23:$DA$26)</f>
        <v>0</v>
      </c>
      <c r="DB27" s="8">
        <f>SUM($DB$23:$DB$26)</f>
        <v>150000</v>
      </c>
      <c r="DC27" s="8">
        <f>SUM($DC$23:$DC$26)</f>
        <v>150000</v>
      </c>
    </row>
    <row r="28" spans="1:107" x14ac:dyDescent="0.3">
      <c r="A28" s="4"/>
      <c r="B28" s="4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6"/>
      <c r="P28" s="6"/>
      <c r="Q28" s="7"/>
      <c r="R28" s="7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8"/>
      <c r="BK28" s="8"/>
      <c r="BL28" s="8"/>
      <c r="BM28" s="8"/>
      <c r="BN28" s="8"/>
      <c r="BO28" s="8"/>
      <c r="BP28" s="8"/>
      <c r="BQ28" s="8"/>
      <c r="BR28" s="8"/>
      <c r="BS28" s="8"/>
      <c r="BT28" s="8"/>
      <c r="BU28" s="8"/>
      <c r="BV28" s="8"/>
      <c r="BW28" s="8"/>
      <c r="BX28" s="8"/>
      <c r="BY28" s="8"/>
      <c r="BZ28" s="8"/>
      <c r="CA28" s="8"/>
      <c r="CB28" s="8"/>
      <c r="CC28" s="8"/>
      <c r="CD28" s="8"/>
      <c r="CE28" s="8"/>
      <c r="CF28" s="8"/>
      <c r="CG28" s="8"/>
      <c r="CH28" s="8"/>
      <c r="CI28" s="8"/>
      <c r="CJ28" s="8"/>
      <c r="CK28" s="8"/>
      <c r="CL28" s="8"/>
      <c r="CM28" s="8"/>
      <c r="CN28" s="8"/>
      <c r="CO28" s="8"/>
      <c r="CP28" s="9"/>
      <c r="CQ28" s="9"/>
      <c r="CR28" s="8"/>
      <c r="CS28" s="8"/>
      <c r="CT28" s="8"/>
      <c r="CU28" s="8"/>
      <c r="CV28" s="8"/>
      <c r="CW28" s="8"/>
      <c r="CX28" s="8"/>
      <c r="CY28" s="8"/>
      <c r="CZ28" s="8"/>
      <c r="DA28" s="8"/>
      <c r="DB28" s="8"/>
      <c r="DC28" s="8"/>
    </row>
    <row r="29" spans="1:107" x14ac:dyDescent="0.3">
      <c r="A29" s="10"/>
      <c r="B29" s="10" t="s">
        <v>172</v>
      </c>
      <c r="C29" s="11" t="s">
        <v>1</v>
      </c>
      <c r="D29" s="11" t="s">
        <v>107</v>
      </c>
      <c r="E29" s="11" t="s">
        <v>173</v>
      </c>
      <c r="F29" s="11" t="s">
        <v>174</v>
      </c>
      <c r="G29" s="11"/>
      <c r="H29" s="11" t="s">
        <v>175</v>
      </c>
      <c r="I29" s="11">
        <v>5841813202</v>
      </c>
      <c r="J29" s="11" t="s">
        <v>110</v>
      </c>
      <c r="K29" s="11" t="s">
        <v>175</v>
      </c>
      <c r="L29" s="11" t="s">
        <v>175</v>
      </c>
      <c r="M29" s="11" t="s">
        <v>163</v>
      </c>
      <c r="N29" s="11" t="s">
        <v>113</v>
      </c>
      <c r="O29" s="12" t="s">
        <v>114</v>
      </c>
      <c r="P29" s="12"/>
      <c r="Q29" s="13"/>
      <c r="R29" s="13"/>
      <c r="S29" s="14">
        <v>0</v>
      </c>
      <c r="T29" s="14">
        <v>0</v>
      </c>
      <c r="U29" s="8">
        <v>0</v>
      </c>
      <c r="V29" s="8">
        <v>0</v>
      </c>
      <c r="W29" s="14">
        <v>0</v>
      </c>
      <c r="X29" s="14">
        <v>0</v>
      </c>
      <c r="Y29" s="14">
        <v>0</v>
      </c>
      <c r="Z29" s="14">
        <v>0</v>
      </c>
      <c r="AA29" s="14">
        <v>0</v>
      </c>
      <c r="AB29" s="8">
        <v>0</v>
      </c>
      <c r="AC29" s="8">
        <v>0</v>
      </c>
      <c r="AD29" s="14">
        <v>0</v>
      </c>
      <c r="AE29" s="14">
        <v>0</v>
      </c>
      <c r="AF29" s="14">
        <v>0</v>
      </c>
      <c r="AG29" s="14">
        <v>0</v>
      </c>
      <c r="AH29" s="8">
        <v>0</v>
      </c>
      <c r="AI29" s="8">
        <v>2000</v>
      </c>
      <c r="AJ29" s="8">
        <v>2000</v>
      </c>
      <c r="AK29" s="14">
        <v>2</v>
      </c>
      <c r="AL29" s="14">
        <v>0</v>
      </c>
      <c r="AM29" s="14">
        <v>0</v>
      </c>
      <c r="AN29" s="14">
        <v>0</v>
      </c>
      <c r="AO29" s="8">
        <v>0</v>
      </c>
      <c r="AP29" s="8">
        <v>3000</v>
      </c>
      <c r="AQ29" s="8">
        <v>3000</v>
      </c>
      <c r="AR29" s="14">
        <v>3</v>
      </c>
      <c r="AS29" s="14">
        <v>0</v>
      </c>
      <c r="AT29" s="14">
        <v>0</v>
      </c>
      <c r="AU29" s="14">
        <v>0</v>
      </c>
      <c r="AV29" s="8">
        <v>0</v>
      </c>
      <c r="AW29" s="8">
        <v>4000</v>
      </c>
      <c r="AX29" s="8">
        <v>4000</v>
      </c>
      <c r="AY29" s="14">
        <v>4</v>
      </c>
      <c r="AZ29" s="14">
        <v>0</v>
      </c>
      <c r="BA29" s="14">
        <v>0</v>
      </c>
      <c r="BB29" s="14">
        <v>0</v>
      </c>
      <c r="BC29" s="8">
        <v>0</v>
      </c>
      <c r="BD29" s="8">
        <v>4000</v>
      </c>
      <c r="BE29" s="8">
        <v>4000</v>
      </c>
      <c r="BF29" s="14">
        <v>4</v>
      </c>
      <c r="BG29" s="14">
        <v>0</v>
      </c>
      <c r="BH29" s="14">
        <v>0</v>
      </c>
      <c r="BI29" s="14">
        <v>0</v>
      </c>
      <c r="BJ29" s="8">
        <v>0</v>
      </c>
      <c r="BK29" s="8">
        <v>4000</v>
      </c>
      <c r="BL29" s="8">
        <v>4000</v>
      </c>
      <c r="BM29" s="14">
        <v>4</v>
      </c>
      <c r="BN29" s="14">
        <v>0</v>
      </c>
      <c r="BO29" s="14">
        <v>0</v>
      </c>
      <c r="BP29" s="8">
        <v>4000</v>
      </c>
      <c r="BQ29" s="8">
        <v>4000</v>
      </c>
      <c r="BR29" s="14">
        <v>4</v>
      </c>
      <c r="BS29" s="14">
        <v>0</v>
      </c>
      <c r="BT29" s="14">
        <v>0</v>
      </c>
      <c r="BU29" s="8">
        <v>4000</v>
      </c>
      <c r="BV29" s="8">
        <v>4000</v>
      </c>
      <c r="BW29" s="14">
        <v>4</v>
      </c>
      <c r="BX29" s="14">
        <v>0</v>
      </c>
      <c r="BY29" s="14">
        <v>0</v>
      </c>
      <c r="BZ29" s="8">
        <v>4000</v>
      </c>
      <c r="CA29" s="8">
        <v>4000</v>
      </c>
      <c r="CB29" s="14">
        <v>4</v>
      </c>
      <c r="CC29" s="14">
        <v>0</v>
      </c>
      <c r="CD29" s="14">
        <v>0</v>
      </c>
      <c r="CE29" s="8">
        <v>4000</v>
      </c>
      <c r="CF29" s="8">
        <v>4000</v>
      </c>
      <c r="CG29" s="14">
        <v>4</v>
      </c>
      <c r="CH29" s="14">
        <v>0</v>
      </c>
      <c r="CI29" s="14">
        <v>0</v>
      </c>
      <c r="CJ29" s="8">
        <v>4000</v>
      </c>
      <c r="CK29" s="8">
        <v>4000</v>
      </c>
      <c r="CL29" s="14">
        <v>4</v>
      </c>
      <c r="CM29" s="14">
        <v>0</v>
      </c>
      <c r="CN29" s="14">
        <v>0</v>
      </c>
      <c r="CO29" s="14">
        <v>0</v>
      </c>
      <c r="CP29" s="9">
        <v>37000</v>
      </c>
      <c r="CQ29" s="9">
        <v>37000</v>
      </c>
      <c r="CR29" s="14">
        <v>3.1</v>
      </c>
      <c r="CS29" s="14">
        <v>0</v>
      </c>
      <c r="CT29" s="14">
        <v>0</v>
      </c>
      <c r="CU29" s="14">
        <v>0</v>
      </c>
      <c r="CV29" s="8">
        <v>-37000</v>
      </c>
      <c r="CW29" s="8">
        <v>-37000</v>
      </c>
      <c r="CX29" s="14">
        <v>0</v>
      </c>
      <c r="CY29" s="14">
        <v>0</v>
      </c>
      <c r="CZ29" s="14">
        <v>0</v>
      </c>
      <c r="DA29" s="14">
        <v>0</v>
      </c>
      <c r="DB29" s="8">
        <v>37000</v>
      </c>
      <c r="DC29" s="8">
        <v>37000</v>
      </c>
    </row>
    <row r="30" spans="1:107" x14ac:dyDescent="0.3">
      <c r="A30" s="4"/>
      <c r="B30" s="4" t="s">
        <v>127</v>
      </c>
      <c r="C30" s="5" t="s">
        <v>1</v>
      </c>
      <c r="D30" s="5" t="s">
        <v>107</v>
      </c>
      <c r="E30" s="5" t="s">
        <v>108</v>
      </c>
      <c r="F30" s="5" t="s">
        <v>176</v>
      </c>
      <c r="G30" s="5"/>
      <c r="H30" s="5" t="s">
        <v>177</v>
      </c>
      <c r="I30" s="5">
        <v>5841813202</v>
      </c>
      <c r="J30" s="5" t="s">
        <v>110</v>
      </c>
      <c r="K30" s="5" t="s">
        <v>177</v>
      </c>
      <c r="L30" s="5" t="s">
        <v>177</v>
      </c>
      <c r="M30" s="5" t="s">
        <v>163</v>
      </c>
      <c r="N30" s="5" t="s">
        <v>113</v>
      </c>
      <c r="O30" s="6" t="s">
        <v>114</v>
      </c>
      <c r="P30" s="6"/>
      <c r="Q30" s="7"/>
      <c r="R30" s="7"/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8">
        <v>0</v>
      </c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8">
        <v>0</v>
      </c>
      <c r="AN30" s="8">
        <v>0</v>
      </c>
      <c r="AO30" s="8">
        <v>0</v>
      </c>
      <c r="AP30" s="8">
        <v>0</v>
      </c>
      <c r="AQ30" s="8">
        <v>0</v>
      </c>
      <c r="AR30" s="8">
        <v>0</v>
      </c>
      <c r="AS30" s="8">
        <v>0</v>
      </c>
      <c r="AT30" s="8">
        <v>0</v>
      </c>
      <c r="AU30" s="8">
        <v>0</v>
      </c>
      <c r="AV30" s="8">
        <v>0</v>
      </c>
      <c r="AW30" s="8">
        <v>0</v>
      </c>
      <c r="AX30" s="8">
        <v>0</v>
      </c>
      <c r="AY30" s="8">
        <v>0</v>
      </c>
      <c r="AZ30" s="8">
        <v>0</v>
      </c>
      <c r="BA30" s="8">
        <v>0</v>
      </c>
      <c r="BB30" s="8">
        <v>0</v>
      </c>
      <c r="BC30" s="8">
        <v>0</v>
      </c>
      <c r="BD30" s="8">
        <v>0</v>
      </c>
      <c r="BE30" s="8">
        <v>0</v>
      </c>
      <c r="BF30" s="8">
        <v>0</v>
      </c>
      <c r="BG30" s="8">
        <v>0</v>
      </c>
      <c r="BH30" s="8">
        <v>0</v>
      </c>
      <c r="BI30" s="8">
        <v>0</v>
      </c>
      <c r="BJ30" s="8">
        <v>0</v>
      </c>
      <c r="BK30" s="8">
        <v>0</v>
      </c>
      <c r="BL30" s="8">
        <v>0</v>
      </c>
      <c r="BM30" s="8">
        <v>0</v>
      </c>
      <c r="BN30" s="8">
        <v>0</v>
      </c>
      <c r="BO30" s="8">
        <v>0</v>
      </c>
      <c r="BP30" s="8">
        <v>4000</v>
      </c>
      <c r="BQ30" s="8">
        <v>4000</v>
      </c>
      <c r="BR30" s="8">
        <v>4</v>
      </c>
      <c r="BS30" s="8">
        <v>0</v>
      </c>
      <c r="BT30" s="8">
        <v>0</v>
      </c>
      <c r="BU30" s="8">
        <v>4000</v>
      </c>
      <c r="BV30" s="8">
        <v>4000</v>
      </c>
      <c r="BW30" s="8">
        <v>4</v>
      </c>
      <c r="BX30" s="8">
        <v>0</v>
      </c>
      <c r="BY30" s="8">
        <v>0</v>
      </c>
      <c r="BZ30" s="8">
        <v>4000</v>
      </c>
      <c r="CA30" s="8">
        <v>4000</v>
      </c>
      <c r="CB30" s="8">
        <v>4</v>
      </c>
      <c r="CC30" s="8">
        <v>0</v>
      </c>
      <c r="CD30" s="8">
        <v>0</v>
      </c>
      <c r="CE30" s="8">
        <v>4000</v>
      </c>
      <c r="CF30" s="8">
        <v>4000</v>
      </c>
      <c r="CG30" s="8">
        <v>4</v>
      </c>
      <c r="CH30" s="8">
        <v>0</v>
      </c>
      <c r="CI30" s="8">
        <v>0</v>
      </c>
      <c r="CJ30" s="8">
        <v>4000</v>
      </c>
      <c r="CK30" s="8">
        <v>4000</v>
      </c>
      <c r="CL30" s="8">
        <v>4</v>
      </c>
      <c r="CM30" s="8">
        <v>0</v>
      </c>
      <c r="CN30" s="8">
        <v>0</v>
      </c>
      <c r="CO30" s="8">
        <v>0</v>
      </c>
      <c r="CP30" s="9">
        <v>20000</v>
      </c>
      <c r="CQ30" s="9">
        <v>20000</v>
      </c>
      <c r="CR30" s="8">
        <v>2</v>
      </c>
      <c r="CS30" s="8">
        <v>0</v>
      </c>
      <c r="CT30" s="8">
        <v>0</v>
      </c>
      <c r="CU30" s="8">
        <v>0</v>
      </c>
      <c r="CV30" s="8">
        <v>-20000</v>
      </c>
      <c r="CW30" s="8">
        <v>-20000</v>
      </c>
      <c r="CX30" s="8">
        <v>0</v>
      </c>
      <c r="CY30" s="8">
        <v>0</v>
      </c>
      <c r="CZ30" s="8">
        <v>0</v>
      </c>
      <c r="DA30" s="8">
        <v>0</v>
      </c>
      <c r="DB30" s="8">
        <v>20000</v>
      </c>
      <c r="DC30" s="8">
        <v>20000</v>
      </c>
    </row>
    <row r="31" spans="1:107" x14ac:dyDescent="0.3">
      <c r="A31" s="10"/>
      <c r="B31" s="10" t="s">
        <v>127</v>
      </c>
      <c r="C31" s="11" t="s">
        <v>1</v>
      </c>
      <c r="D31" s="11" t="s">
        <v>107</v>
      </c>
      <c r="E31" s="11" t="s">
        <v>108</v>
      </c>
      <c r="F31" s="11" t="s">
        <v>176</v>
      </c>
      <c r="G31" s="11"/>
      <c r="H31" s="11" t="s">
        <v>177</v>
      </c>
      <c r="I31" s="11">
        <v>5841813202</v>
      </c>
      <c r="J31" s="11" t="s">
        <v>110</v>
      </c>
      <c r="K31" s="11" t="s">
        <v>177</v>
      </c>
      <c r="L31" s="11" t="s">
        <v>177</v>
      </c>
      <c r="M31" s="11" t="s">
        <v>163</v>
      </c>
      <c r="N31" s="11" t="s">
        <v>113</v>
      </c>
      <c r="O31" s="12" t="s">
        <v>114</v>
      </c>
      <c r="P31" s="12"/>
      <c r="Q31" s="13"/>
      <c r="R31" s="13"/>
      <c r="S31" s="14">
        <v>0</v>
      </c>
      <c r="T31" s="14">
        <v>0</v>
      </c>
      <c r="U31" s="8">
        <v>0</v>
      </c>
      <c r="V31" s="8">
        <v>0</v>
      </c>
      <c r="W31" s="14">
        <v>0</v>
      </c>
      <c r="X31" s="14">
        <v>0</v>
      </c>
      <c r="Y31" s="14">
        <v>0</v>
      </c>
      <c r="Z31" s="14">
        <v>0</v>
      </c>
      <c r="AA31" s="14">
        <v>0</v>
      </c>
      <c r="AB31" s="8">
        <v>0</v>
      </c>
      <c r="AC31" s="8">
        <v>0</v>
      </c>
      <c r="AD31" s="14">
        <v>0</v>
      </c>
      <c r="AE31" s="14">
        <v>0</v>
      </c>
      <c r="AF31" s="14">
        <v>0</v>
      </c>
      <c r="AG31" s="14">
        <v>0</v>
      </c>
      <c r="AH31" s="8">
        <v>0</v>
      </c>
      <c r="AI31" s="8">
        <v>0</v>
      </c>
      <c r="AJ31" s="8">
        <v>0</v>
      </c>
      <c r="AK31" s="14">
        <v>0</v>
      </c>
      <c r="AL31" s="14">
        <v>0</v>
      </c>
      <c r="AM31" s="14">
        <v>0</v>
      </c>
      <c r="AN31" s="14">
        <v>0</v>
      </c>
      <c r="AO31" s="8">
        <v>0</v>
      </c>
      <c r="AP31" s="8">
        <v>0</v>
      </c>
      <c r="AQ31" s="8">
        <v>0</v>
      </c>
      <c r="AR31" s="14">
        <v>0</v>
      </c>
      <c r="AS31" s="14">
        <v>0</v>
      </c>
      <c r="AT31" s="14">
        <v>0</v>
      </c>
      <c r="AU31" s="14">
        <v>0</v>
      </c>
      <c r="AV31" s="8">
        <v>0</v>
      </c>
      <c r="AW31" s="8">
        <v>0</v>
      </c>
      <c r="AX31" s="8">
        <v>0</v>
      </c>
      <c r="AY31" s="14">
        <v>0</v>
      </c>
      <c r="AZ31" s="14">
        <v>0</v>
      </c>
      <c r="BA31" s="14">
        <v>0</v>
      </c>
      <c r="BB31" s="14">
        <v>0</v>
      </c>
      <c r="BC31" s="8">
        <v>0</v>
      </c>
      <c r="BD31" s="8">
        <v>0</v>
      </c>
      <c r="BE31" s="8">
        <v>0</v>
      </c>
      <c r="BF31" s="14">
        <v>0</v>
      </c>
      <c r="BG31" s="14">
        <v>0</v>
      </c>
      <c r="BH31" s="14">
        <v>0</v>
      </c>
      <c r="BI31" s="14">
        <v>0</v>
      </c>
      <c r="BJ31" s="8">
        <v>0</v>
      </c>
      <c r="BK31" s="8">
        <v>0</v>
      </c>
      <c r="BL31" s="8">
        <v>0</v>
      </c>
      <c r="BM31" s="14">
        <v>0</v>
      </c>
      <c r="BN31" s="14">
        <v>0</v>
      </c>
      <c r="BO31" s="14">
        <v>0</v>
      </c>
      <c r="BP31" s="8">
        <v>4000</v>
      </c>
      <c r="BQ31" s="8">
        <v>4000</v>
      </c>
      <c r="BR31" s="14">
        <v>4</v>
      </c>
      <c r="BS31" s="14">
        <v>0</v>
      </c>
      <c r="BT31" s="14">
        <v>0</v>
      </c>
      <c r="BU31" s="8">
        <v>4000</v>
      </c>
      <c r="BV31" s="8">
        <v>4000</v>
      </c>
      <c r="BW31" s="14">
        <v>4</v>
      </c>
      <c r="BX31" s="14">
        <v>0</v>
      </c>
      <c r="BY31" s="14">
        <v>0</v>
      </c>
      <c r="BZ31" s="8">
        <v>4000</v>
      </c>
      <c r="CA31" s="8">
        <v>4000</v>
      </c>
      <c r="CB31" s="14">
        <v>4</v>
      </c>
      <c r="CC31" s="14">
        <v>0</v>
      </c>
      <c r="CD31" s="14">
        <v>0</v>
      </c>
      <c r="CE31" s="8">
        <v>4000</v>
      </c>
      <c r="CF31" s="8">
        <v>4000</v>
      </c>
      <c r="CG31" s="14">
        <v>4</v>
      </c>
      <c r="CH31" s="14">
        <v>0</v>
      </c>
      <c r="CI31" s="14">
        <v>0</v>
      </c>
      <c r="CJ31" s="8">
        <v>4000</v>
      </c>
      <c r="CK31" s="8">
        <v>4000</v>
      </c>
      <c r="CL31" s="14">
        <v>4</v>
      </c>
      <c r="CM31" s="14">
        <v>0</v>
      </c>
      <c r="CN31" s="14">
        <v>0</v>
      </c>
      <c r="CO31" s="14">
        <v>0</v>
      </c>
      <c r="CP31" s="9">
        <v>20000</v>
      </c>
      <c r="CQ31" s="9">
        <v>20000</v>
      </c>
      <c r="CR31" s="14">
        <v>2</v>
      </c>
      <c r="CS31" s="14">
        <v>0</v>
      </c>
      <c r="CT31" s="14">
        <v>0</v>
      </c>
      <c r="CU31" s="14">
        <v>0</v>
      </c>
      <c r="CV31" s="8">
        <v>-20000</v>
      </c>
      <c r="CW31" s="8">
        <v>-20000</v>
      </c>
      <c r="CX31" s="14">
        <v>0</v>
      </c>
      <c r="CY31" s="14">
        <v>0</v>
      </c>
      <c r="CZ31" s="14">
        <v>0</v>
      </c>
      <c r="DA31" s="14">
        <v>0</v>
      </c>
      <c r="DB31" s="8">
        <v>20000</v>
      </c>
      <c r="DC31" s="8">
        <v>20000</v>
      </c>
    </row>
    <row r="32" spans="1:107" x14ac:dyDescent="0.3">
      <c r="A32" s="4"/>
      <c r="B32" s="4"/>
      <c r="C32" s="5"/>
      <c r="D32" s="5" t="s">
        <v>178</v>
      </c>
      <c r="E32" s="5"/>
      <c r="F32" s="5"/>
      <c r="G32" s="5"/>
      <c r="H32" s="5"/>
      <c r="I32" s="5"/>
      <c r="J32" s="5"/>
      <c r="K32" s="5"/>
      <c r="L32" s="5"/>
      <c r="M32" s="5"/>
      <c r="N32" s="5"/>
      <c r="O32" s="6"/>
      <c r="P32" s="6"/>
      <c r="Q32" s="7"/>
      <c r="R32" s="7"/>
      <c r="S32" s="8">
        <f>SUM($S$29:$S$31)</f>
        <v>0</v>
      </c>
      <c r="T32" s="8">
        <f>SUM($T$29:$T$31)</f>
        <v>0</v>
      </c>
      <c r="U32" s="8">
        <f>SUM($U$29:$U$31)</f>
        <v>0</v>
      </c>
      <c r="V32" s="8">
        <f>SUM($V$29:$V$31)</f>
        <v>0</v>
      </c>
      <c r="W32" s="8">
        <f>SUM($W$29:$W$31)</f>
        <v>0</v>
      </c>
      <c r="X32" s="8">
        <f>SUM($X$29:$X$31)</f>
        <v>0</v>
      </c>
      <c r="Y32" s="8">
        <f>SUM($Y$29:$Y$31)</f>
        <v>0</v>
      </c>
      <c r="Z32" s="8">
        <f>SUM($Z$29:$Z$31)</f>
        <v>0</v>
      </c>
      <c r="AA32" s="8">
        <f>SUM($AA$29:$AA$31)</f>
        <v>0</v>
      </c>
      <c r="AB32" s="8">
        <f>SUM($AB$29:$AB$31)</f>
        <v>0</v>
      </c>
      <c r="AC32" s="8">
        <f>SUM($AC$29:$AC$31)</f>
        <v>0</v>
      </c>
      <c r="AD32" s="8">
        <f>SUM($AD$29:$AD$31)</f>
        <v>0</v>
      </c>
      <c r="AE32" s="8">
        <f>SUM($AE$29:$AE$31)</f>
        <v>0</v>
      </c>
      <c r="AF32" s="8">
        <f>SUM($AF$29:$AF$31)</f>
        <v>0</v>
      </c>
      <c r="AG32" s="8">
        <f>SUM($AG$29:$AG$31)</f>
        <v>0</v>
      </c>
      <c r="AH32" s="8">
        <f>SUM($AH$29:$AH$31)</f>
        <v>0</v>
      </c>
      <c r="AI32" s="8">
        <f>SUM($AI$29:$AI$31)</f>
        <v>2000</v>
      </c>
      <c r="AJ32" s="8">
        <f>SUM($AJ$29:$AJ$31)</f>
        <v>2000</v>
      </c>
      <c r="AK32" s="8">
        <f>SUM($AK$29:$AK$31)</f>
        <v>2</v>
      </c>
      <c r="AL32" s="8">
        <f>SUM($AL$29:$AL$31)</f>
        <v>0</v>
      </c>
      <c r="AM32" s="8">
        <f>SUM($AM$29:$AM$31)</f>
        <v>0</v>
      </c>
      <c r="AN32" s="8">
        <f>SUM($AN$29:$AN$31)</f>
        <v>0</v>
      </c>
      <c r="AO32" s="8">
        <f>SUM($AO$29:$AO$31)</f>
        <v>0</v>
      </c>
      <c r="AP32" s="8">
        <f>SUM($AP$29:$AP$31)</f>
        <v>3000</v>
      </c>
      <c r="AQ32" s="8">
        <f>SUM($AQ$29:$AQ$31)</f>
        <v>3000</v>
      </c>
      <c r="AR32" s="8">
        <f>SUM($AR$29:$AR$31)</f>
        <v>3</v>
      </c>
      <c r="AS32" s="8">
        <f>SUM($AS$29:$AS$31)</f>
        <v>0</v>
      </c>
      <c r="AT32" s="8">
        <f>SUM($AT$29:$AT$31)</f>
        <v>0</v>
      </c>
      <c r="AU32" s="8">
        <f>SUM($AU$29:$AU$31)</f>
        <v>0</v>
      </c>
      <c r="AV32" s="8">
        <f>SUM($AV$29:$AV$31)</f>
        <v>0</v>
      </c>
      <c r="AW32" s="8">
        <f>SUM($AW$29:$AW$31)</f>
        <v>4000</v>
      </c>
      <c r="AX32" s="8">
        <f>SUM($AX$29:$AX$31)</f>
        <v>4000</v>
      </c>
      <c r="AY32" s="8">
        <f>SUM($AY$29:$AY$31)</f>
        <v>4</v>
      </c>
      <c r="AZ32" s="8">
        <f>SUM($AZ$29:$AZ$31)</f>
        <v>0</v>
      </c>
      <c r="BA32" s="8">
        <f>SUM($BA$29:$BA$31)</f>
        <v>0</v>
      </c>
      <c r="BB32" s="8">
        <f>SUM($BB$29:$BB$31)</f>
        <v>0</v>
      </c>
      <c r="BC32" s="8">
        <f>SUM($BC$29:$BC$31)</f>
        <v>0</v>
      </c>
      <c r="BD32" s="8">
        <f>SUM($BD$29:$BD$31)</f>
        <v>4000</v>
      </c>
      <c r="BE32" s="8">
        <f>SUM($BE$29:$BE$31)</f>
        <v>4000</v>
      </c>
      <c r="BF32" s="8">
        <f>SUM($BF$29:$BF$31)</f>
        <v>4</v>
      </c>
      <c r="BG32" s="8">
        <f>SUM($BG$29:$BG$31)</f>
        <v>0</v>
      </c>
      <c r="BH32" s="8">
        <f>SUM($BH$29:$BH$31)</f>
        <v>0</v>
      </c>
      <c r="BI32" s="8">
        <f>SUM($BI$29:$BI$31)</f>
        <v>0</v>
      </c>
      <c r="BJ32" s="8">
        <f>SUM($BJ$29:$BJ$31)</f>
        <v>0</v>
      </c>
      <c r="BK32" s="8">
        <f>SUM($BK$29:$BK$31)</f>
        <v>4000</v>
      </c>
      <c r="BL32" s="8">
        <f>SUM($BL$29:$BL$31)</f>
        <v>4000</v>
      </c>
      <c r="BM32" s="8">
        <f>SUM($BM$29:$BM$31)</f>
        <v>4</v>
      </c>
      <c r="BN32" s="8">
        <f>SUM($BN$29:$BN$31)</f>
        <v>0</v>
      </c>
      <c r="BO32" s="8">
        <f>SUM($BO$29:$BO$31)</f>
        <v>0</v>
      </c>
      <c r="BP32" s="8">
        <f>SUM($BP$29:$BP$31)</f>
        <v>12000</v>
      </c>
      <c r="BQ32" s="8">
        <f>SUM($BQ$29:$BQ$31)</f>
        <v>12000</v>
      </c>
      <c r="BR32" s="8">
        <f>SUM($BR$29:$BR$31)</f>
        <v>12</v>
      </c>
      <c r="BS32" s="8">
        <f>SUM($BS$29:$BS$31)</f>
        <v>0</v>
      </c>
      <c r="BT32" s="8">
        <f>SUM($BT$29:$BT$31)</f>
        <v>0</v>
      </c>
      <c r="BU32" s="8">
        <f>SUM($BU$29:$BU$31)</f>
        <v>12000</v>
      </c>
      <c r="BV32" s="8">
        <f>SUM($BV$29:$BV$31)</f>
        <v>12000</v>
      </c>
      <c r="BW32" s="8">
        <f>SUM($BW$29:$BW$31)</f>
        <v>12</v>
      </c>
      <c r="BX32" s="8">
        <f>SUM($BX$29:$BX$31)</f>
        <v>0</v>
      </c>
      <c r="BY32" s="8">
        <f>SUM($BY$29:$BY$31)</f>
        <v>0</v>
      </c>
      <c r="BZ32" s="8">
        <f>SUM($BZ$29:$BZ$31)</f>
        <v>12000</v>
      </c>
      <c r="CA32" s="8">
        <f>SUM($CA$29:$CA$31)</f>
        <v>12000</v>
      </c>
      <c r="CB32" s="8">
        <f>SUM($CB$29:$CB$31)</f>
        <v>12</v>
      </c>
      <c r="CC32" s="8">
        <f>SUM($CC$29:$CC$31)</f>
        <v>0</v>
      </c>
      <c r="CD32" s="8">
        <f>SUM($CD$29:$CD$31)</f>
        <v>0</v>
      </c>
      <c r="CE32" s="8">
        <f>SUM($CE$29:$CE$31)</f>
        <v>12000</v>
      </c>
      <c r="CF32" s="8">
        <f>SUM($CF$29:$CF$31)</f>
        <v>12000</v>
      </c>
      <c r="CG32" s="8">
        <f>SUM($CG$29:$CG$31)</f>
        <v>12</v>
      </c>
      <c r="CH32" s="8">
        <f>SUM($CH$29:$CH$31)</f>
        <v>0</v>
      </c>
      <c r="CI32" s="8">
        <f>SUM($CI$29:$CI$31)</f>
        <v>0</v>
      </c>
      <c r="CJ32" s="8">
        <f>SUM($CJ$29:$CJ$31)</f>
        <v>12000</v>
      </c>
      <c r="CK32" s="8">
        <f>SUM($CK$29:$CK$31)</f>
        <v>12000</v>
      </c>
      <c r="CL32" s="8">
        <f>SUM($CL$29:$CL$31)</f>
        <v>12</v>
      </c>
      <c r="CM32" s="8">
        <f>SUM($CM$29:$CM$31)</f>
        <v>0</v>
      </c>
      <c r="CN32" s="8">
        <f>SUM($CN$29:$CN$31)</f>
        <v>0</v>
      </c>
      <c r="CO32" s="8">
        <f>SUM($CO$29:$CO$31)</f>
        <v>0</v>
      </c>
      <c r="CP32" s="9">
        <f>SUM($CP$29:$CP$31)</f>
        <v>77000</v>
      </c>
      <c r="CQ32" s="9">
        <f>SUM($CQ$29:$CQ$31)</f>
        <v>77000</v>
      </c>
      <c r="CR32" s="8">
        <f>SUM($CR$29:$CR$31)</f>
        <v>7.1</v>
      </c>
      <c r="CS32" s="8">
        <f>SUM($CS$29:$CS$31)</f>
        <v>0</v>
      </c>
      <c r="CT32" s="8">
        <f>SUM($CT$29:$CT$31)</f>
        <v>0</v>
      </c>
      <c r="CU32" s="8">
        <f>SUM($CU$29:$CU$31)</f>
        <v>0</v>
      </c>
      <c r="CV32" s="8">
        <f>SUM($CV$29:$CV$31)</f>
        <v>-77000</v>
      </c>
      <c r="CW32" s="8">
        <f>SUM($CW$29:$CW$31)</f>
        <v>-77000</v>
      </c>
      <c r="CX32" s="8">
        <f>SUM($CX$29:$CX$31)</f>
        <v>0</v>
      </c>
      <c r="CY32" s="8">
        <f>SUM($CY$29:$CY$31)</f>
        <v>0</v>
      </c>
      <c r="CZ32" s="8">
        <f>SUM($CZ$29:$CZ$31)</f>
        <v>0</v>
      </c>
      <c r="DA32" s="8">
        <f>SUM($DA$29:$DA$31)</f>
        <v>0</v>
      </c>
      <c r="DB32" s="8">
        <f>SUM($DB$29:$DB$31)</f>
        <v>77000</v>
      </c>
      <c r="DC32" s="8">
        <f>SUM($DC$29:$DC$31)</f>
        <v>77000</v>
      </c>
    </row>
    <row r="33" spans="1:107" x14ac:dyDescent="0.3">
      <c r="A33" s="10"/>
      <c r="B33" s="10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2"/>
      <c r="P33" s="12"/>
      <c r="Q33" s="13"/>
      <c r="R33" s="13"/>
      <c r="S33" s="14"/>
      <c r="T33" s="14"/>
      <c r="U33" s="8"/>
      <c r="V33" s="8"/>
      <c r="W33" s="14"/>
      <c r="X33" s="14"/>
      <c r="Y33" s="14"/>
      <c r="Z33" s="14"/>
      <c r="AA33" s="14"/>
      <c r="AB33" s="8"/>
      <c r="AC33" s="8"/>
      <c r="AD33" s="14"/>
      <c r="AE33" s="14"/>
      <c r="AF33" s="14"/>
      <c r="AG33" s="14"/>
      <c r="AH33" s="8"/>
      <c r="AI33" s="8"/>
      <c r="AJ33" s="8"/>
      <c r="AK33" s="14"/>
      <c r="AL33" s="14"/>
      <c r="AM33" s="14"/>
      <c r="AN33" s="14"/>
      <c r="AO33" s="8"/>
      <c r="AP33" s="8"/>
      <c r="AQ33" s="8"/>
      <c r="AR33" s="14"/>
      <c r="AS33" s="14"/>
      <c r="AT33" s="14"/>
      <c r="AU33" s="14"/>
      <c r="AV33" s="8"/>
      <c r="AW33" s="8"/>
      <c r="AX33" s="8"/>
      <c r="AY33" s="14"/>
      <c r="AZ33" s="14"/>
      <c r="BA33" s="14"/>
      <c r="BB33" s="14"/>
      <c r="BC33" s="8"/>
      <c r="BD33" s="8"/>
      <c r="BE33" s="8"/>
      <c r="BF33" s="14"/>
      <c r="BG33" s="14"/>
      <c r="BH33" s="14"/>
      <c r="BI33" s="14"/>
      <c r="BJ33" s="8"/>
      <c r="BK33" s="8"/>
      <c r="BL33" s="8"/>
      <c r="BM33" s="14"/>
      <c r="BN33" s="14"/>
      <c r="BO33" s="14"/>
      <c r="BP33" s="8"/>
      <c r="BQ33" s="8"/>
      <c r="BR33" s="14"/>
      <c r="BS33" s="14"/>
      <c r="BT33" s="14"/>
      <c r="BU33" s="8"/>
      <c r="BV33" s="8"/>
      <c r="BW33" s="14"/>
      <c r="BX33" s="14"/>
      <c r="BY33" s="14"/>
      <c r="BZ33" s="8"/>
      <c r="CA33" s="8"/>
      <c r="CB33" s="14"/>
      <c r="CC33" s="14"/>
      <c r="CD33" s="14"/>
      <c r="CE33" s="8"/>
      <c r="CF33" s="8"/>
      <c r="CG33" s="14"/>
      <c r="CH33" s="14"/>
      <c r="CI33" s="14"/>
      <c r="CJ33" s="8"/>
      <c r="CK33" s="8"/>
      <c r="CL33" s="14"/>
      <c r="CM33" s="14"/>
      <c r="CN33" s="14"/>
      <c r="CO33" s="14"/>
      <c r="CP33" s="9"/>
      <c r="CQ33" s="9"/>
      <c r="CR33" s="14"/>
      <c r="CS33" s="14"/>
      <c r="CT33" s="14"/>
      <c r="CU33" s="14"/>
      <c r="CV33" s="8"/>
      <c r="CW33" s="8"/>
      <c r="CX33" s="14"/>
      <c r="CY33" s="14"/>
      <c r="CZ33" s="14"/>
      <c r="DA33" s="14"/>
      <c r="DB33" s="8"/>
      <c r="DC33" s="8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CostCenterGroupBySumResult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kailing shen</dc:creator>
  <cp:lastModifiedBy>kailing shen</cp:lastModifiedBy>
  <dcterms:created xsi:type="dcterms:W3CDTF">2026-05-20T14:50:56Z</dcterms:created>
  <dcterms:modified xsi:type="dcterms:W3CDTF">2026-05-20T14:50:56Z</dcterms:modified>
</cp:coreProperties>
</file>
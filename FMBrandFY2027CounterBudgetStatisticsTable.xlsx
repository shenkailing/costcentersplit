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KA~1\AppData\Local\Temp\"/>
    </mc:Choice>
  </mc:AlternateContent>
  <xr:revisionPtr revIDLastSave="0" documentId="8_{33FEC6EC-D5D1-4B53-8B4D-4ED756021F79}" xr6:coauthVersionLast="47" xr6:coauthVersionMax="47" xr10:uidLastSave="{00000000-0000-0000-0000-000000000000}"/>
  <bookViews>
    <workbookView xWindow="-110" yWindow="-110" windowWidth="25820" windowHeight="15620" xr2:uid="{A76856D6-4B57-4488-951A-5C8856EDB3C9}"/>
  </bookViews>
  <sheets>
    <sheet name="CostCenterGroupBySum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D36" i="1" l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</calcChain>
</file>

<file path=xl/sharedStrings.xml><?xml version="1.0" encoding="utf-8"?>
<sst xmlns="http://schemas.openxmlformats.org/spreadsheetml/2006/main" count="379" uniqueCount="130">
  <si>
    <t>HC版本号：KLFMBGT20260325135910（系统自动生成的变量）</t>
  </si>
  <si>
    <t>KL</t>
  </si>
  <si>
    <t>FM</t>
  </si>
  <si>
    <t>品牌</t>
  </si>
  <si>
    <t>财年</t>
  </si>
  <si>
    <t>城市</t>
  </si>
  <si>
    <t>门店名称</t>
  </si>
  <si>
    <t>是否关键门店</t>
  </si>
  <si>
    <t>DoorCode</t>
  </si>
  <si>
    <t>CostCode</t>
  </si>
  <si>
    <t>岗位类型</t>
  </si>
  <si>
    <t>财务编码</t>
  </si>
  <si>
    <t>柜台状态</t>
  </si>
  <si>
    <t>DoorConcept</t>
  </si>
  <si>
    <t>DoorType</t>
  </si>
  <si>
    <t>Tier</t>
  </si>
  <si>
    <t>是否柜台</t>
  </si>
  <si>
    <t>7月薪资</t>
  </si>
  <si>
    <t>7月福利</t>
  </si>
  <si>
    <t>7月HC</t>
  </si>
  <si>
    <t>8月薪资</t>
  </si>
  <si>
    <t>8月福利</t>
  </si>
  <si>
    <t>8月HC</t>
  </si>
  <si>
    <t>9月薪资</t>
  </si>
  <si>
    <t>9月福利</t>
  </si>
  <si>
    <t>9月HC</t>
  </si>
  <si>
    <t>10月薪资</t>
  </si>
  <si>
    <t>10月福利</t>
  </si>
  <si>
    <t>10月HC</t>
  </si>
  <si>
    <t>11月薪资</t>
  </si>
  <si>
    <t>11月福利</t>
  </si>
  <si>
    <t>11月HC</t>
  </si>
  <si>
    <t>12月薪资</t>
  </si>
  <si>
    <t>12月福利</t>
  </si>
  <si>
    <t>12月HC</t>
  </si>
  <si>
    <t>1月薪资</t>
  </si>
  <si>
    <t>1月福利</t>
  </si>
  <si>
    <t>1月HC</t>
  </si>
  <si>
    <t>2月薪资</t>
  </si>
  <si>
    <t>2月福利</t>
  </si>
  <si>
    <t>2月HC</t>
  </si>
  <si>
    <t>3月薪资</t>
  </si>
  <si>
    <t>3月福利</t>
  </si>
  <si>
    <t>3月HC</t>
  </si>
  <si>
    <t>4月薪资</t>
  </si>
  <si>
    <t>4月福利</t>
  </si>
  <si>
    <t>4月HC</t>
  </si>
  <si>
    <t>5月薪资</t>
  </si>
  <si>
    <t>5月福利</t>
  </si>
  <si>
    <t>5月HC</t>
  </si>
  <si>
    <t>6月薪资</t>
  </si>
  <si>
    <t>6月福利</t>
  </si>
  <si>
    <t>6月HC</t>
  </si>
  <si>
    <t>特殊调整</t>
  </si>
  <si>
    <t>薪资合计</t>
  </si>
  <si>
    <t>福利合计</t>
  </si>
  <si>
    <t>HC平均值</t>
  </si>
  <si>
    <t>FY2027</t>
  </si>
  <si>
    <t>上海</t>
  </si>
  <si>
    <t>contingency 柜台</t>
  </si>
  <si>
    <t>KLFMFY2022000014</t>
  </si>
  <si>
    <t>BA</t>
  </si>
  <si>
    <t>Contingency</t>
  </si>
  <si>
    <t>N</t>
  </si>
  <si>
    <t>重庆</t>
  </si>
  <si>
    <t>重庆星光68</t>
  </si>
  <si>
    <t>KLFMFY2024000012</t>
  </si>
  <si>
    <t>Existing</t>
  </si>
  <si>
    <t>DS</t>
  </si>
  <si>
    <t>X</t>
  </si>
  <si>
    <t>Y</t>
  </si>
  <si>
    <t>FM</t>
    <phoneticPr fontId="2" type="noConversion"/>
  </si>
  <si>
    <t>深圳</t>
  </si>
  <si>
    <t>深圳湾万象城</t>
  </si>
  <si>
    <t>KLFMFY2027000004</t>
  </si>
  <si>
    <t>FY27 New Door</t>
  </si>
  <si>
    <t>FSS</t>
  </si>
  <si>
    <t>成都</t>
  </si>
  <si>
    <t>成都SKP</t>
  </si>
  <si>
    <t>KLFMFY2023000024</t>
  </si>
  <si>
    <t>武汉</t>
  </si>
  <si>
    <t>武汉SKP</t>
  </si>
  <si>
    <t>KLFMFY2023000023</t>
  </si>
  <si>
    <t>北京</t>
  </si>
  <si>
    <t>北京新光三越</t>
  </si>
  <si>
    <t>KLFMFY2021000002</t>
  </si>
  <si>
    <t>南京</t>
  </si>
  <si>
    <t>南京德基</t>
  </si>
  <si>
    <t>KLFMFY2022000010</t>
  </si>
  <si>
    <t>上海前滩太古里</t>
  </si>
  <si>
    <t>KLFMFY2022000015</t>
  </si>
  <si>
    <t>成都远洋太古里</t>
  </si>
  <si>
    <t>KLFMFY2023000025</t>
  </si>
  <si>
    <t>北京三里屯</t>
  </si>
  <si>
    <t>KLFMFY2022000016</t>
  </si>
  <si>
    <t>杭州</t>
  </si>
  <si>
    <t>杭州万象城</t>
  </si>
  <si>
    <t>KLFMFY2022000013</t>
  </si>
  <si>
    <t>广州</t>
  </si>
  <si>
    <t>广州天环</t>
  </si>
  <si>
    <t>KLFMFY2027000003</t>
  </si>
  <si>
    <t>广州太古汇</t>
  </si>
  <si>
    <t>KLFMFY2023000022</t>
  </si>
  <si>
    <t>深圳万象天地</t>
  </si>
  <si>
    <t>KLFMFY2022000011</t>
  </si>
  <si>
    <t>杭州银泰</t>
  </si>
  <si>
    <t>KLFMFY2021000003</t>
  </si>
  <si>
    <t>宁波</t>
  </si>
  <si>
    <t>宁波阪急-498</t>
  </si>
  <si>
    <t>KLFMFY2023000026</t>
  </si>
  <si>
    <t>郑州</t>
  </si>
  <si>
    <t>郑州大卫城</t>
  </si>
  <si>
    <t>KLFMFY2026000001</t>
  </si>
  <si>
    <t>FY26 New Door</t>
  </si>
  <si>
    <t>深圳罗湖万象城</t>
  </si>
  <si>
    <t>KLFMFY2022000012</t>
  </si>
  <si>
    <t>Total：</t>
  </si>
  <si>
    <t>KL</t>
    <phoneticPr fontId="2" type="noConversion"/>
  </si>
  <si>
    <t>杭州In77KILIAN</t>
  </si>
  <si>
    <t>KLFMFY2026000005</t>
  </si>
  <si>
    <t>B</t>
  </si>
  <si>
    <t>苏州</t>
  </si>
  <si>
    <t>苏州中心</t>
  </si>
  <si>
    <t>KLFMFY2026000002</t>
  </si>
  <si>
    <t>KL Total：</t>
  </si>
  <si>
    <t>上海国金中心</t>
  </si>
  <si>
    <t>KLFMFY2020000001</t>
  </si>
  <si>
    <t>杭州In77FM</t>
  </si>
  <si>
    <t>KLFMFY2026000006</t>
  </si>
  <si>
    <t>FM Total：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</si>
</sst>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rgb="FFF7F7F7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F7F7F7"/>
      <name val="等线"/>
      <family val="2"/>
      <scheme val="minor"/>
    </font>
    <font>
      <sz val="11"/>
      <color rgb="FF4A3C8C"/>
      <name val="等线"/>
      <family val="2"/>
      <charset val="134"/>
      <scheme val="minor"/>
    </font>
    <font>
      <sz val="10"/>
      <color rgb="FF4A3C8C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3C8C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5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382F-813E-46EC-890C-8725F487AFB4}">
  <dimension ref="A1:BE36"/>
  <sheetViews>
    <sheetView tabSelected="1" topLeftCell="A4" workbookViewId="0">
      <selection activeCell="A36" sqref="A36:BD36"/>
    </sheetView>
  </sheetViews>
  <sheetFormatPr defaultRowHeight="14" x14ac:dyDescent="0.3"/>
  <sheetData>
    <row r="1" spans="1:57" x14ac:dyDescent="0.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x14ac:dyDescent="0.3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  <c r="BE2" s="3"/>
    </row>
    <row r="3" spans="1:57" x14ac:dyDescent="0.3">
      <c r="A3" s="5"/>
      <c r="B3" s="5"/>
      <c r="C3" s="6" t="s">
        <v>2</v>
      </c>
      <c r="D3" s="6" t="s">
        <v>57</v>
      </c>
      <c r="E3" s="5" t="s">
        <v>58</v>
      </c>
      <c r="F3" s="5" t="s">
        <v>59</v>
      </c>
      <c r="G3" s="6"/>
      <c r="H3" s="6" t="s">
        <v>60</v>
      </c>
      <c r="I3" s="5" t="s">
        <v>60</v>
      </c>
      <c r="J3" s="5" t="s">
        <v>61</v>
      </c>
      <c r="K3" s="6" t="s">
        <v>60</v>
      </c>
      <c r="L3" s="6" t="s">
        <v>62</v>
      </c>
      <c r="M3" s="5" t="s">
        <v>62</v>
      </c>
      <c r="N3" s="5" t="s">
        <v>62</v>
      </c>
      <c r="O3" s="6"/>
      <c r="P3" s="6" t="s">
        <v>63</v>
      </c>
      <c r="Q3" s="5">
        <v>2000</v>
      </c>
      <c r="R3" s="5">
        <v>2000</v>
      </c>
      <c r="S3" s="6">
        <v>2</v>
      </c>
      <c r="T3" s="6">
        <v>2000</v>
      </c>
      <c r="U3" s="5">
        <v>2000</v>
      </c>
      <c r="V3" s="5">
        <v>2</v>
      </c>
      <c r="W3" s="6">
        <v>2000</v>
      </c>
      <c r="X3" s="6">
        <v>2000</v>
      </c>
      <c r="Y3" s="5">
        <v>2</v>
      </c>
      <c r="Z3" s="5">
        <v>2000</v>
      </c>
      <c r="AA3" s="6">
        <v>2000</v>
      </c>
      <c r="AB3" s="6">
        <v>2</v>
      </c>
      <c r="AC3" s="5">
        <v>2000</v>
      </c>
      <c r="AD3" s="5">
        <v>2000</v>
      </c>
      <c r="AE3" s="6">
        <v>2</v>
      </c>
      <c r="AF3" s="6">
        <v>2000</v>
      </c>
      <c r="AG3" s="5">
        <v>2000</v>
      </c>
      <c r="AH3" s="5">
        <v>2</v>
      </c>
      <c r="AI3" s="6">
        <v>2000</v>
      </c>
      <c r="AJ3" s="6">
        <v>2000</v>
      </c>
      <c r="AK3" s="5">
        <v>2</v>
      </c>
      <c r="AL3" s="5">
        <v>2000</v>
      </c>
      <c r="AM3" s="6">
        <v>2000</v>
      </c>
      <c r="AN3" s="6">
        <v>2</v>
      </c>
      <c r="AO3" s="5">
        <v>2000</v>
      </c>
      <c r="AP3" s="5">
        <v>2000</v>
      </c>
      <c r="AQ3" s="6">
        <v>2</v>
      </c>
      <c r="AR3" s="6">
        <v>2000</v>
      </c>
      <c r="AS3" s="5">
        <v>2000</v>
      </c>
      <c r="AT3" s="5">
        <v>2</v>
      </c>
      <c r="AU3" s="6">
        <v>2000</v>
      </c>
      <c r="AV3" s="6">
        <v>2000</v>
      </c>
      <c r="AW3" s="5">
        <v>2</v>
      </c>
      <c r="AX3" s="5">
        <v>2000</v>
      </c>
      <c r="AY3" s="6">
        <v>2000</v>
      </c>
      <c r="AZ3" s="6">
        <v>2</v>
      </c>
      <c r="BA3" s="5">
        <v>0</v>
      </c>
      <c r="BB3" s="5">
        <v>24000</v>
      </c>
      <c r="BC3" s="6">
        <v>24000</v>
      </c>
      <c r="BD3" s="6">
        <v>2</v>
      </c>
      <c r="BE3" s="5"/>
    </row>
    <row r="4" spans="1:57" x14ac:dyDescent="0.3">
      <c r="A4" s="5"/>
      <c r="B4" s="5"/>
      <c r="C4" s="6" t="s">
        <v>2</v>
      </c>
      <c r="D4" s="6" t="s">
        <v>57</v>
      </c>
      <c r="E4" s="5" t="s">
        <v>64</v>
      </c>
      <c r="F4" s="5" t="s">
        <v>65</v>
      </c>
      <c r="G4" s="6"/>
      <c r="H4" s="6">
        <v>375953</v>
      </c>
      <c r="I4" s="5">
        <v>5841813202</v>
      </c>
      <c r="J4" s="5" t="s">
        <v>61</v>
      </c>
      <c r="K4" s="6" t="s">
        <v>66</v>
      </c>
      <c r="L4" s="6" t="s">
        <v>67</v>
      </c>
      <c r="M4" s="5" t="s">
        <v>68</v>
      </c>
      <c r="N4" s="5" t="s">
        <v>69</v>
      </c>
      <c r="O4" s="6"/>
      <c r="P4" s="6" t="s">
        <v>70</v>
      </c>
      <c r="Q4" s="5">
        <v>4000</v>
      </c>
      <c r="R4" s="5">
        <v>4000</v>
      </c>
      <c r="S4" s="6">
        <v>4</v>
      </c>
      <c r="T4" s="6">
        <v>4000</v>
      </c>
      <c r="U4" s="5">
        <v>4000</v>
      </c>
      <c r="V4" s="5">
        <v>4</v>
      </c>
      <c r="W4" s="6">
        <v>4000</v>
      </c>
      <c r="X4" s="6">
        <v>4000</v>
      </c>
      <c r="Y4" s="5">
        <v>4</v>
      </c>
      <c r="Z4" s="5">
        <v>4000</v>
      </c>
      <c r="AA4" s="6">
        <v>4000</v>
      </c>
      <c r="AB4" s="6">
        <v>4</v>
      </c>
      <c r="AC4" s="5">
        <v>4000</v>
      </c>
      <c r="AD4" s="5">
        <v>4000</v>
      </c>
      <c r="AE4" s="6">
        <v>4</v>
      </c>
      <c r="AF4" s="6">
        <v>4000</v>
      </c>
      <c r="AG4" s="5">
        <v>4000</v>
      </c>
      <c r="AH4" s="5">
        <v>4</v>
      </c>
      <c r="AI4" s="6">
        <v>4000</v>
      </c>
      <c r="AJ4" s="6">
        <v>4000</v>
      </c>
      <c r="AK4" s="5">
        <v>4</v>
      </c>
      <c r="AL4" s="5">
        <v>4000</v>
      </c>
      <c r="AM4" s="6">
        <v>4000</v>
      </c>
      <c r="AN4" s="6">
        <v>4</v>
      </c>
      <c r="AO4" s="5">
        <v>4000</v>
      </c>
      <c r="AP4" s="5">
        <v>4000</v>
      </c>
      <c r="AQ4" s="6">
        <v>4</v>
      </c>
      <c r="AR4" s="6">
        <v>4000</v>
      </c>
      <c r="AS4" s="5">
        <v>4000</v>
      </c>
      <c r="AT4" s="5">
        <v>4</v>
      </c>
      <c r="AU4" s="6">
        <v>4000</v>
      </c>
      <c r="AV4" s="6">
        <v>4000</v>
      </c>
      <c r="AW4" s="5">
        <v>4</v>
      </c>
      <c r="AX4" s="5">
        <v>4000</v>
      </c>
      <c r="AY4" s="6">
        <v>4000</v>
      </c>
      <c r="AZ4" s="6">
        <v>4</v>
      </c>
      <c r="BA4" s="5">
        <v>0</v>
      </c>
      <c r="BB4" s="5">
        <v>48000</v>
      </c>
      <c r="BC4" s="6">
        <v>48000</v>
      </c>
      <c r="BD4" s="6">
        <v>4</v>
      </c>
      <c r="BE4" s="5"/>
    </row>
    <row r="5" spans="1:57" x14ac:dyDescent="0.3">
      <c r="A5" s="7"/>
      <c r="B5" s="7"/>
      <c r="C5" s="8" t="s">
        <v>71</v>
      </c>
      <c r="D5" s="8" t="s">
        <v>57</v>
      </c>
      <c r="E5" s="7" t="s">
        <v>72</v>
      </c>
      <c r="F5" s="7" t="s">
        <v>73</v>
      </c>
      <c r="G5" s="8"/>
      <c r="H5" s="8" t="s">
        <v>74</v>
      </c>
      <c r="I5" s="7" t="s">
        <v>74</v>
      </c>
      <c r="J5" s="7" t="s">
        <v>61</v>
      </c>
      <c r="K5" s="8" t="s">
        <v>74</v>
      </c>
      <c r="L5" s="8" t="s">
        <v>75</v>
      </c>
      <c r="M5" s="7" t="s">
        <v>76</v>
      </c>
      <c r="N5" s="7" t="s">
        <v>76</v>
      </c>
      <c r="O5" s="8"/>
      <c r="P5" s="8" t="s">
        <v>70</v>
      </c>
      <c r="Q5" s="7">
        <v>3000</v>
      </c>
      <c r="R5" s="7">
        <v>3000</v>
      </c>
      <c r="S5" s="8">
        <v>3</v>
      </c>
      <c r="T5" s="8">
        <v>3000</v>
      </c>
      <c r="U5" s="7">
        <v>3000</v>
      </c>
      <c r="V5" s="7">
        <v>3</v>
      </c>
      <c r="W5" s="8">
        <v>3000</v>
      </c>
      <c r="X5" s="8">
        <v>3000</v>
      </c>
      <c r="Y5" s="7">
        <v>3</v>
      </c>
      <c r="Z5" s="7">
        <v>3000</v>
      </c>
      <c r="AA5" s="8">
        <v>3000</v>
      </c>
      <c r="AB5" s="8">
        <v>3</v>
      </c>
      <c r="AC5" s="7">
        <v>3000</v>
      </c>
      <c r="AD5" s="7">
        <v>3000</v>
      </c>
      <c r="AE5" s="8">
        <v>3</v>
      </c>
      <c r="AF5" s="8">
        <v>3000</v>
      </c>
      <c r="AG5" s="7">
        <v>3000</v>
      </c>
      <c r="AH5" s="7">
        <v>3</v>
      </c>
      <c r="AI5" s="8">
        <v>3000</v>
      </c>
      <c r="AJ5" s="8">
        <v>3000</v>
      </c>
      <c r="AK5" s="7">
        <v>3</v>
      </c>
      <c r="AL5" s="7">
        <v>3000</v>
      </c>
      <c r="AM5" s="8">
        <v>3000</v>
      </c>
      <c r="AN5" s="8">
        <v>3</v>
      </c>
      <c r="AO5" s="7">
        <v>3000</v>
      </c>
      <c r="AP5" s="7">
        <v>3000</v>
      </c>
      <c r="AQ5" s="8">
        <v>3</v>
      </c>
      <c r="AR5" s="8">
        <v>3000</v>
      </c>
      <c r="AS5" s="7">
        <v>3000</v>
      </c>
      <c r="AT5" s="7">
        <v>3</v>
      </c>
      <c r="AU5" s="8">
        <v>3000</v>
      </c>
      <c r="AV5" s="8">
        <v>3000</v>
      </c>
      <c r="AW5" s="7">
        <v>3</v>
      </c>
      <c r="AX5" s="7">
        <v>3000</v>
      </c>
      <c r="AY5" s="8">
        <v>3000</v>
      </c>
      <c r="AZ5" s="8">
        <v>3</v>
      </c>
      <c r="BA5" s="7">
        <v>0</v>
      </c>
      <c r="BB5" s="7">
        <v>36000</v>
      </c>
      <c r="BC5" s="8">
        <v>36000</v>
      </c>
      <c r="BD5" s="8">
        <v>3</v>
      </c>
      <c r="BE5" s="7"/>
    </row>
    <row r="6" spans="1:57" x14ac:dyDescent="0.3">
      <c r="A6" s="5"/>
      <c r="B6" s="5"/>
      <c r="C6" s="6" t="s">
        <v>2</v>
      </c>
      <c r="D6" s="6" t="s">
        <v>57</v>
      </c>
      <c r="E6" s="5" t="s">
        <v>77</v>
      </c>
      <c r="F6" s="5" t="s">
        <v>78</v>
      </c>
      <c r="G6" s="6"/>
      <c r="H6" s="6">
        <v>370316</v>
      </c>
      <c r="I6" s="5">
        <v>5841813202</v>
      </c>
      <c r="J6" s="5" t="s">
        <v>61</v>
      </c>
      <c r="K6" s="6" t="s">
        <v>79</v>
      </c>
      <c r="L6" s="6" t="s">
        <v>67</v>
      </c>
      <c r="M6" s="5" t="s">
        <v>68</v>
      </c>
      <c r="N6" s="5" t="s">
        <v>69</v>
      </c>
      <c r="O6" s="6"/>
      <c r="P6" s="6" t="s">
        <v>70</v>
      </c>
      <c r="Q6" s="5">
        <v>4000</v>
      </c>
      <c r="R6" s="5">
        <v>4000</v>
      </c>
      <c r="S6" s="6">
        <v>4</v>
      </c>
      <c r="T6" s="6">
        <v>4000</v>
      </c>
      <c r="U6" s="5">
        <v>4000</v>
      </c>
      <c r="V6" s="5">
        <v>4</v>
      </c>
      <c r="W6" s="6">
        <v>4000</v>
      </c>
      <c r="X6" s="6">
        <v>4000</v>
      </c>
      <c r="Y6" s="5">
        <v>4</v>
      </c>
      <c r="Z6" s="5">
        <v>4000</v>
      </c>
      <c r="AA6" s="6">
        <v>4000</v>
      </c>
      <c r="AB6" s="6">
        <v>4</v>
      </c>
      <c r="AC6" s="5">
        <v>4000</v>
      </c>
      <c r="AD6" s="5">
        <v>4000</v>
      </c>
      <c r="AE6" s="6">
        <v>4</v>
      </c>
      <c r="AF6" s="6">
        <v>4000</v>
      </c>
      <c r="AG6" s="5">
        <v>4000</v>
      </c>
      <c r="AH6" s="5">
        <v>4</v>
      </c>
      <c r="AI6" s="6">
        <v>4000</v>
      </c>
      <c r="AJ6" s="6">
        <v>4000</v>
      </c>
      <c r="AK6" s="5">
        <v>4</v>
      </c>
      <c r="AL6" s="5">
        <v>4000</v>
      </c>
      <c r="AM6" s="6">
        <v>4000</v>
      </c>
      <c r="AN6" s="6">
        <v>4</v>
      </c>
      <c r="AO6" s="5">
        <v>4000</v>
      </c>
      <c r="AP6" s="5">
        <v>4000</v>
      </c>
      <c r="AQ6" s="6">
        <v>4</v>
      </c>
      <c r="AR6" s="6">
        <v>4000</v>
      </c>
      <c r="AS6" s="5">
        <v>4000</v>
      </c>
      <c r="AT6" s="5">
        <v>4</v>
      </c>
      <c r="AU6" s="6">
        <v>4000</v>
      </c>
      <c r="AV6" s="6">
        <v>4000</v>
      </c>
      <c r="AW6" s="5">
        <v>4</v>
      </c>
      <c r="AX6" s="5">
        <v>4000</v>
      </c>
      <c r="AY6" s="6">
        <v>4000</v>
      </c>
      <c r="AZ6" s="6">
        <v>4</v>
      </c>
      <c r="BA6" s="5">
        <v>0</v>
      </c>
      <c r="BB6" s="5">
        <v>48000</v>
      </c>
      <c r="BC6" s="6">
        <v>48000</v>
      </c>
      <c r="BD6" s="6">
        <v>4</v>
      </c>
      <c r="BE6" s="5"/>
    </row>
    <row r="7" spans="1:57" x14ac:dyDescent="0.3">
      <c r="A7" s="7"/>
      <c r="B7" s="7"/>
      <c r="C7" s="8" t="s">
        <v>71</v>
      </c>
      <c r="D7" s="8" t="s">
        <v>57</v>
      </c>
      <c r="E7" s="7" t="s">
        <v>80</v>
      </c>
      <c r="F7" s="7" t="s">
        <v>81</v>
      </c>
      <c r="G7" s="8"/>
      <c r="H7" s="8">
        <v>375725</v>
      </c>
      <c r="I7" s="7">
        <v>5841813202</v>
      </c>
      <c r="J7" s="7" t="s">
        <v>61</v>
      </c>
      <c r="K7" s="8" t="s">
        <v>82</v>
      </c>
      <c r="L7" s="8" t="s">
        <v>67</v>
      </c>
      <c r="M7" s="7" t="s">
        <v>68</v>
      </c>
      <c r="N7" s="7" t="s">
        <v>69</v>
      </c>
      <c r="O7" s="8"/>
      <c r="P7" s="8" t="s">
        <v>70</v>
      </c>
      <c r="Q7" s="7">
        <v>5000</v>
      </c>
      <c r="R7" s="7">
        <v>5000</v>
      </c>
      <c r="S7" s="8">
        <v>5</v>
      </c>
      <c r="T7" s="8">
        <v>5000</v>
      </c>
      <c r="U7" s="7">
        <v>5000</v>
      </c>
      <c r="V7" s="7">
        <v>5</v>
      </c>
      <c r="W7" s="8">
        <v>5000</v>
      </c>
      <c r="X7" s="8">
        <v>5000</v>
      </c>
      <c r="Y7" s="7">
        <v>5</v>
      </c>
      <c r="Z7" s="7">
        <v>5000</v>
      </c>
      <c r="AA7" s="8">
        <v>5000</v>
      </c>
      <c r="AB7" s="8">
        <v>5</v>
      </c>
      <c r="AC7" s="7">
        <v>5000</v>
      </c>
      <c r="AD7" s="7">
        <v>5000</v>
      </c>
      <c r="AE7" s="8">
        <v>5</v>
      </c>
      <c r="AF7" s="8">
        <v>5000</v>
      </c>
      <c r="AG7" s="7">
        <v>5000</v>
      </c>
      <c r="AH7" s="7">
        <v>5</v>
      </c>
      <c r="AI7" s="8">
        <v>5000</v>
      </c>
      <c r="AJ7" s="8">
        <v>5000</v>
      </c>
      <c r="AK7" s="7">
        <v>5</v>
      </c>
      <c r="AL7" s="7">
        <v>5000</v>
      </c>
      <c r="AM7" s="8">
        <v>5000</v>
      </c>
      <c r="AN7" s="8">
        <v>5</v>
      </c>
      <c r="AO7" s="7">
        <v>5000</v>
      </c>
      <c r="AP7" s="7">
        <v>5000</v>
      </c>
      <c r="AQ7" s="8">
        <v>5</v>
      </c>
      <c r="AR7" s="8">
        <v>5000</v>
      </c>
      <c r="AS7" s="7">
        <v>5000</v>
      </c>
      <c r="AT7" s="7">
        <v>5</v>
      </c>
      <c r="AU7" s="8">
        <v>5000</v>
      </c>
      <c r="AV7" s="8">
        <v>5000</v>
      </c>
      <c r="AW7" s="7">
        <v>5</v>
      </c>
      <c r="AX7" s="7">
        <v>5000</v>
      </c>
      <c r="AY7" s="8">
        <v>5000</v>
      </c>
      <c r="AZ7" s="8">
        <v>5</v>
      </c>
      <c r="BA7" s="7">
        <v>0</v>
      </c>
      <c r="BB7" s="7">
        <v>60000</v>
      </c>
      <c r="BC7" s="8">
        <v>60000</v>
      </c>
      <c r="BD7" s="8">
        <v>5</v>
      </c>
      <c r="BE7" s="7"/>
    </row>
    <row r="8" spans="1:57" x14ac:dyDescent="0.3">
      <c r="A8" s="5"/>
      <c r="B8" s="5"/>
      <c r="C8" s="6" t="s">
        <v>2</v>
      </c>
      <c r="D8" s="6" t="s">
        <v>57</v>
      </c>
      <c r="E8" s="5" t="s">
        <v>83</v>
      </c>
      <c r="F8" s="5" t="s">
        <v>84</v>
      </c>
      <c r="G8" s="6"/>
      <c r="H8" s="6">
        <v>129915</v>
      </c>
      <c r="I8" s="5">
        <v>5841813202</v>
      </c>
      <c r="J8" s="5" t="s">
        <v>61</v>
      </c>
      <c r="K8" s="6" t="s">
        <v>85</v>
      </c>
      <c r="L8" s="6" t="s">
        <v>67</v>
      </c>
      <c r="M8" s="5" t="s">
        <v>68</v>
      </c>
      <c r="N8" s="5" t="s">
        <v>69</v>
      </c>
      <c r="O8" s="6"/>
      <c r="P8" s="6" t="s">
        <v>70</v>
      </c>
      <c r="Q8" s="5">
        <v>5000</v>
      </c>
      <c r="R8" s="5">
        <v>5000</v>
      </c>
      <c r="S8" s="6">
        <v>5</v>
      </c>
      <c r="T8" s="6">
        <v>5000</v>
      </c>
      <c r="U8" s="5">
        <v>5000</v>
      </c>
      <c r="V8" s="5">
        <v>5</v>
      </c>
      <c r="W8" s="6">
        <v>5000</v>
      </c>
      <c r="X8" s="6">
        <v>5000</v>
      </c>
      <c r="Y8" s="5">
        <v>5</v>
      </c>
      <c r="Z8" s="5">
        <v>5000</v>
      </c>
      <c r="AA8" s="6">
        <v>5000</v>
      </c>
      <c r="AB8" s="6">
        <v>5</v>
      </c>
      <c r="AC8" s="5">
        <v>5000</v>
      </c>
      <c r="AD8" s="5">
        <v>5000</v>
      </c>
      <c r="AE8" s="6">
        <v>5</v>
      </c>
      <c r="AF8" s="6">
        <v>5000</v>
      </c>
      <c r="AG8" s="5">
        <v>5000</v>
      </c>
      <c r="AH8" s="5">
        <v>5</v>
      </c>
      <c r="AI8" s="6">
        <v>5000</v>
      </c>
      <c r="AJ8" s="6">
        <v>5000</v>
      </c>
      <c r="AK8" s="5">
        <v>5</v>
      </c>
      <c r="AL8" s="5">
        <v>5000</v>
      </c>
      <c r="AM8" s="6">
        <v>5000</v>
      </c>
      <c r="AN8" s="6">
        <v>5</v>
      </c>
      <c r="AO8" s="5">
        <v>5000</v>
      </c>
      <c r="AP8" s="5">
        <v>5000</v>
      </c>
      <c r="AQ8" s="6">
        <v>5</v>
      </c>
      <c r="AR8" s="6">
        <v>5000</v>
      </c>
      <c r="AS8" s="5">
        <v>5000</v>
      </c>
      <c r="AT8" s="5">
        <v>5</v>
      </c>
      <c r="AU8" s="6">
        <v>5000</v>
      </c>
      <c r="AV8" s="6">
        <v>5000</v>
      </c>
      <c r="AW8" s="5">
        <v>5</v>
      </c>
      <c r="AX8" s="5">
        <v>5000</v>
      </c>
      <c r="AY8" s="6">
        <v>5000</v>
      </c>
      <c r="AZ8" s="6">
        <v>5</v>
      </c>
      <c r="BA8" s="5">
        <v>0</v>
      </c>
      <c r="BB8" s="5">
        <v>60000</v>
      </c>
      <c r="BC8" s="6">
        <v>60000</v>
      </c>
      <c r="BD8" s="6">
        <v>5</v>
      </c>
      <c r="BE8" s="5"/>
    </row>
    <row r="9" spans="1:57" x14ac:dyDescent="0.3">
      <c r="A9" s="7"/>
      <c r="B9" s="7"/>
      <c r="C9" s="8" t="s">
        <v>71</v>
      </c>
      <c r="D9" s="8" t="s">
        <v>57</v>
      </c>
      <c r="E9" s="7" t="s">
        <v>86</v>
      </c>
      <c r="F9" s="7" t="s">
        <v>87</v>
      </c>
      <c r="G9" s="8"/>
      <c r="H9" s="8">
        <v>38617004</v>
      </c>
      <c r="I9" s="7">
        <v>5841813202</v>
      </c>
      <c r="J9" s="7" t="s">
        <v>61</v>
      </c>
      <c r="K9" s="8" t="s">
        <v>88</v>
      </c>
      <c r="L9" s="8" t="s">
        <v>67</v>
      </c>
      <c r="M9" s="7" t="s">
        <v>76</v>
      </c>
      <c r="N9" s="7" t="s">
        <v>69</v>
      </c>
      <c r="O9" s="8"/>
      <c r="P9" s="8" t="s">
        <v>70</v>
      </c>
      <c r="Q9" s="7">
        <v>7000</v>
      </c>
      <c r="R9" s="7">
        <v>7000</v>
      </c>
      <c r="S9" s="8">
        <v>7</v>
      </c>
      <c r="T9" s="8">
        <v>7000</v>
      </c>
      <c r="U9" s="7">
        <v>7000</v>
      </c>
      <c r="V9" s="7">
        <v>7</v>
      </c>
      <c r="W9" s="8">
        <v>7000</v>
      </c>
      <c r="X9" s="8">
        <v>7000</v>
      </c>
      <c r="Y9" s="7">
        <v>7</v>
      </c>
      <c r="Z9" s="7">
        <v>7000</v>
      </c>
      <c r="AA9" s="8">
        <v>7000</v>
      </c>
      <c r="AB9" s="8">
        <v>7</v>
      </c>
      <c r="AC9" s="7">
        <v>7000</v>
      </c>
      <c r="AD9" s="7">
        <v>7000</v>
      </c>
      <c r="AE9" s="8">
        <v>7</v>
      </c>
      <c r="AF9" s="8">
        <v>7000</v>
      </c>
      <c r="AG9" s="7">
        <v>7000</v>
      </c>
      <c r="AH9" s="7">
        <v>7</v>
      </c>
      <c r="AI9" s="8">
        <v>7000</v>
      </c>
      <c r="AJ9" s="8">
        <v>7000</v>
      </c>
      <c r="AK9" s="7">
        <v>7</v>
      </c>
      <c r="AL9" s="7">
        <v>7000</v>
      </c>
      <c r="AM9" s="8">
        <v>7000</v>
      </c>
      <c r="AN9" s="8">
        <v>7</v>
      </c>
      <c r="AO9" s="7">
        <v>7000</v>
      </c>
      <c r="AP9" s="7">
        <v>7000</v>
      </c>
      <c r="AQ9" s="8">
        <v>7</v>
      </c>
      <c r="AR9" s="8">
        <v>7000</v>
      </c>
      <c r="AS9" s="7">
        <v>7000</v>
      </c>
      <c r="AT9" s="7">
        <v>7</v>
      </c>
      <c r="AU9" s="8">
        <v>7000</v>
      </c>
      <c r="AV9" s="8">
        <v>7000</v>
      </c>
      <c r="AW9" s="7">
        <v>7</v>
      </c>
      <c r="AX9" s="7">
        <v>7000</v>
      </c>
      <c r="AY9" s="8">
        <v>7000</v>
      </c>
      <c r="AZ9" s="8">
        <v>7</v>
      </c>
      <c r="BA9" s="7">
        <v>0</v>
      </c>
      <c r="BB9" s="7">
        <v>84000</v>
      </c>
      <c r="BC9" s="8">
        <v>84000</v>
      </c>
      <c r="BD9" s="8">
        <v>7</v>
      </c>
      <c r="BE9" s="7"/>
    </row>
    <row r="10" spans="1:57" x14ac:dyDescent="0.3">
      <c r="A10" s="5"/>
      <c r="B10" s="5"/>
      <c r="C10" s="6" t="s">
        <v>2</v>
      </c>
      <c r="D10" s="6" t="s">
        <v>57</v>
      </c>
      <c r="E10" s="5" t="s">
        <v>58</v>
      </c>
      <c r="F10" s="5" t="s">
        <v>89</v>
      </c>
      <c r="G10" s="6"/>
      <c r="H10" s="6">
        <v>38617008</v>
      </c>
      <c r="I10" s="5">
        <v>5841813202</v>
      </c>
      <c r="J10" s="5" t="s">
        <v>61</v>
      </c>
      <c r="K10" s="6" t="s">
        <v>90</v>
      </c>
      <c r="L10" s="6" t="s">
        <v>67</v>
      </c>
      <c r="M10" s="5" t="s">
        <v>76</v>
      </c>
      <c r="N10" s="5" t="s">
        <v>69</v>
      </c>
      <c r="O10" s="6"/>
      <c r="P10" s="6" t="s">
        <v>70</v>
      </c>
      <c r="Q10" s="5">
        <v>4000</v>
      </c>
      <c r="R10" s="5">
        <v>4000</v>
      </c>
      <c r="S10" s="6">
        <v>4</v>
      </c>
      <c r="T10" s="6">
        <v>4000</v>
      </c>
      <c r="U10" s="5">
        <v>4000</v>
      </c>
      <c r="V10" s="5">
        <v>4</v>
      </c>
      <c r="W10" s="6">
        <v>4000</v>
      </c>
      <c r="X10" s="6">
        <v>4000</v>
      </c>
      <c r="Y10" s="5">
        <v>4</v>
      </c>
      <c r="Z10" s="5">
        <v>4000</v>
      </c>
      <c r="AA10" s="6">
        <v>4000</v>
      </c>
      <c r="AB10" s="6">
        <v>4</v>
      </c>
      <c r="AC10" s="5">
        <v>4000</v>
      </c>
      <c r="AD10" s="5">
        <v>4000</v>
      </c>
      <c r="AE10" s="6">
        <v>4</v>
      </c>
      <c r="AF10" s="6">
        <v>4000</v>
      </c>
      <c r="AG10" s="5">
        <v>4000</v>
      </c>
      <c r="AH10" s="5">
        <v>4</v>
      </c>
      <c r="AI10" s="6">
        <v>4000</v>
      </c>
      <c r="AJ10" s="6">
        <v>4000</v>
      </c>
      <c r="AK10" s="5">
        <v>4</v>
      </c>
      <c r="AL10" s="5">
        <v>4000</v>
      </c>
      <c r="AM10" s="6">
        <v>4000</v>
      </c>
      <c r="AN10" s="6">
        <v>4</v>
      </c>
      <c r="AO10" s="5">
        <v>4000</v>
      </c>
      <c r="AP10" s="5">
        <v>4000</v>
      </c>
      <c r="AQ10" s="6">
        <v>4</v>
      </c>
      <c r="AR10" s="6">
        <v>4000</v>
      </c>
      <c r="AS10" s="5">
        <v>4000</v>
      </c>
      <c r="AT10" s="5">
        <v>4</v>
      </c>
      <c r="AU10" s="6">
        <v>4000</v>
      </c>
      <c r="AV10" s="6">
        <v>4000</v>
      </c>
      <c r="AW10" s="5">
        <v>4</v>
      </c>
      <c r="AX10" s="5">
        <v>4000</v>
      </c>
      <c r="AY10" s="6">
        <v>4000</v>
      </c>
      <c r="AZ10" s="6">
        <v>4</v>
      </c>
      <c r="BA10" s="5">
        <v>0</v>
      </c>
      <c r="BB10" s="5">
        <v>48000</v>
      </c>
      <c r="BC10" s="6">
        <v>48000</v>
      </c>
      <c r="BD10" s="6">
        <v>4</v>
      </c>
      <c r="BE10" s="5"/>
    </row>
    <row r="11" spans="1:57" x14ac:dyDescent="0.3">
      <c r="A11" s="7"/>
      <c r="B11" s="7"/>
      <c r="C11" s="8" t="s">
        <v>71</v>
      </c>
      <c r="D11" s="8" t="s">
        <v>57</v>
      </c>
      <c r="E11" s="7" t="s">
        <v>77</v>
      </c>
      <c r="F11" s="7" t="s">
        <v>91</v>
      </c>
      <c r="G11" s="8" t="s">
        <v>70</v>
      </c>
      <c r="H11" s="8">
        <v>36617009</v>
      </c>
      <c r="I11" s="7">
        <v>5841993202</v>
      </c>
      <c r="J11" s="7" t="s">
        <v>61</v>
      </c>
      <c r="K11" s="8" t="s">
        <v>92</v>
      </c>
      <c r="L11" s="8" t="s">
        <v>67</v>
      </c>
      <c r="M11" s="7" t="s">
        <v>76</v>
      </c>
      <c r="N11" s="7" t="s">
        <v>69</v>
      </c>
      <c r="O11" s="8"/>
      <c r="P11" s="8" t="s">
        <v>70</v>
      </c>
      <c r="Q11" s="7">
        <v>7000</v>
      </c>
      <c r="R11" s="7">
        <v>7000</v>
      </c>
      <c r="S11" s="8">
        <v>7</v>
      </c>
      <c r="T11" s="8">
        <v>7000</v>
      </c>
      <c r="U11" s="7">
        <v>7000</v>
      </c>
      <c r="V11" s="7">
        <v>7</v>
      </c>
      <c r="W11" s="8">
        <v>7000</v>
      </c>
      <c r="X11" s="8">
        <v>7000</v>
      </c>
      <c r="Y11" s="7">
        <v>7</v>
      </c>
      <c r="Z11" s="7">
        <v>7000</v>
      </c>
      <c r="AA11" s="8">
        <v>7000</v>
      </c>
      <c r="AB11" s="8">
        <v>7</v>
      </c>
      <c r="AC11" s="7">
        <v>7000</v>
      </c>
      <c r="AD11" s="7">
        <v>7000</v>
      </c>
      <c r="AE11" s="8">
        <v>7</v>
      </c>
      <c r="AF11" s="8">
        <v>7000</v>
      </c>
      <c r="AG11" s="7">
        <v>7000</v>
      </c>
      <c r="AH11" s="7">
        <v>7</v>
      </c>
      <c r="AI11" s="8">
        <v>7000</v>
      </c>
      <c r="AJ11" s="8">
        <v>7000</v>
      </c>
      <c r="AK11" s="7">
        <v>7</v>
      </c>
      <c r="AL11" s="7">
        <v>7000</v>
      </c>
      <c r="AM11" s="8">
        <v>7000</v>
      </c>
      <c r="AN11" s="8">
        <v>7</v>
      </c>
      <c r="AO11" s="7">
        <v>7000</v>
      </c>
      <c r="AP11" s="7">
        <v>7000</v>
      </c>
      <c r="AQ11" s="8">
        <v>7</v>
      </c>
      <c r="AR11" s="8">
        <v>7000</v>
      </c>
      <c r="AS11" s="7">
        <v>7000</v>
      </c>
      <c r="AT11" s="7">
        <v>7</v>
      </c>
      <c r="AU11" s="8">
        <v>7000</v>
      </c>
      <c r="AV11" s="8">
        <v>7000</v>
      </c>
      <c r="AW11" s="7">
        <v>7</v>
      </c>
      <c r="AX11" s="7">
        <v>7000</v>
      </c>
      <c r="AY11" s="8">
        <v>7000</v>
      </c>
      <c r="AZ11" s="8">
        <v>7</v>
      </c>
      <c r="BA11" s="7">
        <v>0</v>
      </c>
      <c r="BB11" s="7">
        <v>84000</v>
      </c>
      <c r="BC11" s="8">
        <v>84000</v>
      </c>
      <c r="BD11" s="8">
        <v>7</v>
      </c>
      <c r="BE11" s="5"/>
    </row>
    <row r="12" spans="1:57" x14ac:dyDescent="0.3">
      <c r="A12" s="5"/>
      <c r="B12" s="5"/>
      <c r="C12" s="6" t="s">
        <v>71</v>
      </c>
      <c r="D12" s="6" t="s">
        <v>57</v>
      </c>
      <c r="E12" s="5" t="s">
        <v>83</v>
      </c>
      <c r="F12" s="5" t="s">
        <v>93</v>
      </c>
      <c r="G12" s="6" t="s">
        <v>70</v>
      </c>
      <c r="H12" s="6">
        <v>38617007</v>
      </c>
      <c r="I12" s="5">
        <v>5842073202</v>
      </c>
      <c r="J12" s="5" t="s">
        <v>61</v>
      </c>
      <c r="K12" s="6" t="s">
        <v>94</v>
      </c>
      <c r="L12" s="6" t="s">
        <v>67</v>
      </c>
      <c r="M12" s="5" t="s">
        <v>76</v>
      </c>
      <c r="N12" s="5" t="s">
        <v>69</v>
      </c>
      <c r="O12" s="6"/>
      <c r="P12" s="6" t="s">
        <v>70</v>
      </c>
      <c r="Q12" s="5">
        <v>6000</v>
      </c>
      <c r="R12" s="5">
        <v>6000</v>
      </c>
      <c r="S12" s="6">
        <v>6</v>
      </c>
      <c r="T12" s="6">
        <v>6000</v>
      </c>
      <c r="U12" s="5">
        <v>6000</v>
      </c>
      <c r="V12" s="5">
        <v>6</v>
      </c>
      <c r="W12" s="6">
        <v>6000</v>
      </c>
      <c r="X12" s="6">
        <v>6000</v>
      </c>
      <c r="Y12" s="5">
        <v>6</v>
      </c>
      <c r="Z12" s="5">
        <v>6000</v>
      </c>
      <c r="AA12" s="6">
        <v>6000</v>
      </c>
      <c r="AB12" s="6">
        <v>6</v>
      </c>
      <c r="AC12" s="5">
        <v>6000</v>
      </c>
      <c r="AD12" s="5">
        <v>6000</v>
      </c>
      <c r="AE12" s="6">
        <v>6</v>
      </c>
      <c r="AF12" s="6">
        <v>6000</v>
      </c>
      <c r="AG12" s="5">
        <v>6000</v>
      </c>
      <c r="AH12" s="5">
        <v>6</v>
      </c>
      <c r="AI12" s="6">
        <v>6000</v>
      </c>
      <c r="AJ12" s="6">
        <v>6000</v>
      </c>
      <c r="AK12" s="5">
        <v>6</v>
      </c>
      <c r="AL12" s="5">
        <v>6000</v>
      </c>
      <c r="AM12" s="6">
        <v>6000</v>
      </c>
      <c r="AN12" s="6">
        <v>6</v>
      </c>
      <c r="AO12" s="5">
        <v>6000</v>
      </c>
      <c r="AP12" s="5">
        <v>6000</v>
      </c>
      <c r="AQ12" s="6">
        <v>6</v>
      </c>
      <c r="AR12" s="6">
        <v>6000</v>
      </c>
      <c r="AS12" s="5">
        <v>6000</v>
      </c>
      <c r="AT12" s="5">
        <v>6</v>
      </c>
      <c r="AU12" s="6">
        <v>6000</v>
      </c>
      <c r="AV12" s="6">
        <v>6000</v>
      </c>
      <c r="AW12" s="5">
        <v>6</v>
      </c>
      <c r="AX12" s="5">
        <v>6000</v>
      </c>
      <c r="AY12" s="6">
        <v>6000</v>
      </c>
      <c r="AZ12" s="6">
        <v>6</v>
      </c>
      <c r="BA12" s="5">
        <v>0</v>
      </c>
      <c r="BB12" s="5">
        <v>72000</v>
      </c>
      <c r="BC12" s="6">
        <v>72000</v>
      </c>
      <c r="BD12" s="6">
        <v>6</v>
      </c>
      <c r="BE12" s="7"/>
    </row>
    <row r="13" spans="1:57" x14ac:dyDescent="0.3">
      <c r="A13" s="7"/>
      <c r="B13" s="7"/>
      <c r="C13" s="8" t="s">
        <v>71</v>
      </c>
      <c r="D13" s="8" t="s">
        <v>57</v>
      </c>
      <c r="E13" s="7" t="s">
        <v>95</v>
      </c>
      <c r="F13" s="7" t="s">
        <v>96</v>
      </c>
      <c r="G13" s="8" t="s">
        <v>70</v>
      </c>
      <c r="H13" s="8">
        <v>36617003</v>
      </c>
      <c r="I13" s="7">
        <v>5842213202</v>
      </c>
      <c r="J13" s="7" t="s">
        <v>61</v>
      </c>
      <c r="K13" s="8" t="s">
        <v>97</v>
      </c>
      <c r="L13" s="8" t="s">
        <v>67</v>
      </c>
      <c r="M13" s="7" t="s">
        <v>76</v>
      </c>
      <c r="N13" s="7" t="s">
        <v>69</v>
      </c>
      <c r="O13" s="8"/>
      <c r="P13" s="8" t="s">
        <v>70</v>
      </c>
      <c r="Q13" s="7">
        <v>5000</v>
      </c>
      <c r="R13" s="7">
        <v>5000</v>
      </c>
      <c r="S13" s="8">
        <v>5</v>
      </c>
      <c r="T13" s="8">
        <v>5000</v>
      </c>
      <c r="U13" s="7">
        <v>5000</v>
      </c>
      <c r="V13" s="7">
        <v>5</v>
      </c>
      <c r="W13" s="8">
        <v>5000</v>
      </c>
      <c r="X13" s="8">
        <v>5000</v>
      </c>
      <c r="Y13" s="7">
        <v>5</v>
      </c>
      <c r="Z13" s="7">
        <v>5000</v>
      </c>
      <c r="AA13" s="8">
        <v>5000</v>
      </c>
      <c r="AB13" s="8">
        <v>5</v>
      </c>
      <c r="AC13" s="7">
        <v>5000</v>
      </c>
      <c r="AD13" s="7">
        <v>5000</v>
      </c>
      <c r="AE13" s="8">
        <v>5</v>
      </c>
      <c r="AF13" s="8">
        <v>5000</v>
      </c>
      <c r="AG13" s="7">
        <v>5000</v>
      </c>
      <c r="AH13" s="7">
        <v>5</v>
      </c>
      <c r="AI13" s="8">
        <v>5000</v>
      </c>
      <c r="AJ13" s="8">
        <v>5000</v>
      </c>
      <c r="AK13" s="7">
        <v>5</v>
      </c>
      <c r="AL13" s="7">
        <v>5000</v>
      </c>
      <c r="AM13" s="8">
        <v>5000</v>
      </c>
      <c r="AN13" s="8">
        <v>5</v>
      </c>
      <c r="AO13" s="7">
        <v>5000</v>
      </c>
      <c r="AP13" s="7">
        <v>5000</v>
      </c>
      <c r="AQ13" s="8">
        <v>5</v>
      </c>
      <c r="AR13" s="8">
        <v>5000</v>
      </c>
      <c r="AS13" s="7">
        <v>5000</v>
      </c>
      <c r="AT13" s="7">
        <v>5</v>
      </c>
      <c r="AU13" s="8">
        <v>5000</v>
      </c>
      <c r="AV13" s="8">
        <v>5000</v>
      </c>
      <c r="AW13" s="7">
        <v>5</v>
      </c>
      <c r="AX13" s="7">
        <v>5000</v>
      </c>
      <c r="AY13" s="8">
        <v>5000</v>
      </c>
      <c r="AZ13" s="8">
        <v>5</v>
      </c>
      <c r="BA13" s="7">
        <v>0</v>
      </c>
      <c r="BB13" s="7">
        <v>60000</v>
      </c>
      <c r="BC13" s="8">
        <v>60000</v>
      </c>
      <c r="BD13" s="8">
        <v>5</v>
      </c>
      <c r="BE13" s="5"/>
    </row>
    <row r="14" spans="1:57" x14ac:dyDescent="0.3">
      <c r="A14" s="5"/>
      <c r="B14" s="5"/>
      <c r="C14" s="6" t="s">
        <v>71</v>
      </c>
      <c r="D14" s="6" t="s">
        <v>57</v>
      </c>
      <c r="E14" s="5" t="s">
        <v>98</v>
      </c>
      <c r="F14" s="5" t="s">
        <v>99</v>
      </c>
      <c r="G14" s="6"/>
      <c r="H14" s="6" t="s">
        <v>100</v>
      </c>
      <c r="I14" s="5" t="s">
        <v>100</v>
      </c>
      <c r="J14" s="5" t="s">
        <v>61</v>
      </c>
      <c r="K14" s="6" t="s">
        <v>100</v>
      </c>
      <c r="L14" s="6" t="s">
        <v>75</v>
      </c>
      <c r="M14" s="5" t="s">
        <v>76</v>
      </c>
      <c r="N14" s="5" t="s">
        <v>69</v>
      </c>
      <c r="O14" s="6"/>
      <c r="P14" s="6" t="s">
        <v>70</v>
      </c>
      <c r="Q14" s="5">
        <v>4000</v>
      </c>
      <c r="R14" s="5">
        <v>4000</v>
      </c>
      <c r="S14" s="6">
        <v>4</v>
      </c>
      <c r="T14" s="6">
        <v>4000</v>
      </c>
      <c r="U14" s="5">
        <v>4000</v>
      </c>
      <c r="V14" s="5">
        <v>4</v>
      </c>
      <c r="W14" s="6">
        <v>4000</v>
      </c>
      <c r="X14" s="6">
        <v>4000</v>
      </c>
      <c r="Y14" s="5">
        <v>4</v>
      </c>
      <c r="Z14" s="5">
        <v>4000</v>
      </c>
      <c r="AA14" s="6">
        <v>4000</v>
      </c>
      <c r="AB14" s="6">
        <v>4</v>
      </c>
      <c r="AC14" s="5">
        <v>4000</v>
      </c>
      <c r="AD14" s="5">
        <v>4000</v>
      </c>
      <c r="AE14" s="6">
        <v>4</v>
      </c>
      <c r="AF14" s="6">
        <v>4000</v>
      </c>
      <c r="AG14" s="5">
        <v>4000</v>
      </c>
      <c r="AH14" s="5">
        <v>4</v>
      </c>
      <c r="AI14" s="6">
        <v>4000</v>
      </c>
      <c r="AJ14" s="6">
        <v>4000</v>
      </c>
      <c r="AK14" s="5">
        <v>4</v>
      </c>
      <c r="AL14" s="5">
        <v>4000</v>
      </c>
      <c r="AM14" s="6">
        <v>4000</v>
      </c>
      <c r="AN14" s="6">
        <v>4</v>
      </c>
      <c r="AO14" s="5">
        <v>4000</v>
      </c>
      <c r="AP14" s="5">
        <v>4000</v>
      </c>
      <c r="AQ14" s="6">
        <v>4</v>
      </c>
      <c r="AR14" s="6">
        <v>4000</v>
      </c>
      <c r="AS14" s="5">
        <v>4000</v>
      </c>
      <c r="AT14" s="5">
        <v>4</v>
      </c>
      <c r="AU14" s="6">
        <v>4000</v>
      </c>
      <c r="AV14" s="6">
        <v>4000</v>
      </c>
      <c r="AW14" s="5">
        <v>4</v>
      </c>
      <c r="AX14" s="5">
        <v>4000</v>
      </c>
      <c r="AY14" s="6">
        <v>4000</v>
      </c>
      <c r="AZ14" s="6">
        <v>4</v>
      </c>
      <c r="BA14" s="5">
        <v>0</v>
      </c>
      <c r="BB14" s="5">
        <v>48000</v>
      </c>
      <c r="BC14" s="6">
        <v>48000</v>
      </c>
      <c r="BD14" s="6">
        <v>4</v>
      </c>
      <c r="BE14" s="7"/>
    </row>
    <row r="15" spans="1:57" x14ac:dyDescent="0.3">
      <c r="A15" s="7"/>
      <c r="B15" s="7"/>
      <c r="C15" s="8" t="s">
        <v>71</v>
      </c>
      <c r="D15" s="8" t="s">
        <v>57</v>
      </c>
      <c r="E15" s="7" t="s">
        <v>98</v>
      </c>
      <c r="F15" s="7" t="s">
        <v>101</v>
      </c>
      <c r="G15" s="8" t="s">
        <v>70</v>
      </c>
      <c r="H15" s="8">
        <v>36617006</v>
      </c>
      <c r="I15" s="7">
        <v>5842083202</v>
      </c>
      <c r="J15" s="7" t="s">
        <v>61</v>
      </c>
      <c r="K15" s="8" t="s">
        <v>102</v>
      </c>
      <c r="L15" s="8" t="s">
        <v>67</v>
      </c>
      <c r="M15" s="7" t="s">
        <v>76</v>
      </c>
      <c r="N15" s="7" t="s">
        <v>69</v>
      </c>
      <c r="O15" s="8"/>
      <c r="P15" s="8" t="s">
        <v>70</v>
      </c>
      <c r="Q15" s="7">
        <v>7000</v>
      </c>
      <c r="R15" s="7">
        <v>7000</v>
      </c>
      <c r="S15" s="8">
        <v>7</v>
      </c>
      <c r="T15" s="8">
        <v>7000</v>
      </c>
      <c r="U15" s="7">
        <v>7000</v>
      </c>
      <c r="V15" s="7">
        <v>7</v>
      </c>
      <c r="W15" s="8">
        <v>7000</v>
      </c>
      <c r="X15" s="8">
        <v>7000</v>
      </c>
      <c r="Y15" s="7">
        <v>7</v>
      </c>
      <c r="Z15" s="7">
        <v>7000</v>
      </c>
      <c r="AA15" s="8">
        <v>7000</v>
      </c>
      <c r="AB15" s="8">
        <v>7</v>
      </c>
      <c r="AC15" s="7">
        <v>7000</v>
      </c>
      <c r="AD15" s="7">
        <v>7000</v>
      </c>
      <c r="AE15" s="8">
        <v>7</v>
      </c>
      <c r="AF15" s="8">
        <v>7000</v>
      </c>
      <c r="AG15" s="7">
        <v>7000</v>
      </c>
      <c r="AH15" s="7">
        <v>7</v>
      </c>
      <c r="AI15" s="8">
        <v>7000</v>
      </c>
      <c r="AJ15" s="8">
        <v>7000</v>
      </c>
      <c r="AK15" s="7">
        <v>7</v>
      </c>
      <c r="AL15" s="7">
        <v>7000</v>
      </c>
      <c r="AM15" s="8">
        <v>7000</v>
      </c>
      <c r="AN15" s="8">
        <v>7</v>
      </c>
      <c r="AO15" s="7">
        <v>7000</v>
      </c>
      <c r="AP15" s="7">
        <v>7000</v>
      </c>
      <c r="AQ15" s="8">
        <v>7</v>
      </c>
      <c r="AR15" s="8">
        <v>7000</v>
      </c>
      <c r="AS15" s="7">
        <v>7000</v>
      </c>
      <c r="AT15" s="7">
        <v>7</v>
      </c>
      <c r="AU15" s="8">
        <v>7000</v>
      </c>
      <c r="AV15" s="8">
        <v>7000</v>
      </c>
      <c r="AW15" s="7">
        <v>7</v>
      </c>
      <c r="AX15" s="7">
        <v>7000</v>
      </c>
      <c r="AY15" s="8">
        <v>7000</v>
      </c>
      <c r="AZ15" s="8">
        <v>7</v>
      </c>
      <c r="BA15" s="7">
        <v>0</v>
      </c>
      <c r="BB15" s="7">
        <v>84000</v>
      </c>
      <c r="BC15" s="8">
        <v>84000</v>
      </c>
      <c r="BD15" s="8">
        <v>7</v>
      </c>
      <c r="BE15" s="7"/>
    </row>
    <row r="16" spans="1:57" x14ac:dyDescent="0.3">
      <c r="A16" s="5"/>
      <c r="B16" s="5"/>
      <c r="C16" s="6" t="s">
        <v>2</v>
      </c>
      <c r="D16" s="6" t="s">
        <v>57</v>
      </c>
      <c r="E16" s="5" t="s">
        <v>72</v>
      </c>
      <c r="F16" s="5" t="s">
        <v>103</v>
      </c>
      <c r="G16" s="6" t="s">
        <v>70</v>
      </c>
      <c r="H16" s="6">
        <v>38617002</v>
      </c>
      <c r="I16" s="5">
        <v>5842283202</v>
      </c>
      <c r="J16" s="5" t="s">
        <v>61</v>
      </c>
      <c r="K16" s="6" t="s">
        <v>104</v>
      </c>
      <c r="L16" s="6" t="s">
        <v>67</v>
      </c>
      <c r="M16" s="5" t="s">
        <v>76</v>
      </c>
      <c r="N16" s="5" t="s">
        <v>69</v>
      </c>
      <c r="O16" s="6"/>
      <c r="P16" s="6" t="s">
        <v>70</v>
      </c>
      <c r="Q16" s="5">
        <v>7000</v>
      </c>
      <c r="R16" s="5">
        <v>7000</v>
      </c>
      <c r="S16" s="6">
        <v>7</v>
      </c>
      <c r="T16" s="6">
        <v>7000</v>
      </c>
      <c r="U16" s="5">
        <v>7000</v>
      </c>
      <c r="V16" s="5">
        <v>7</v>
      </c>
      <c r="W16" s="6">
        <v>7000</v>
      </c>
      <c r="X16" s="6">
        <v>7000</v>
      </c>
      <c r="Y16" s="5">
        <v>7</v>
      </c>
      <c r="Z16" s="5">
        <v>7000</v>
      </c>
      <c r="AA16" s="6">
        <v>7000</v>
      </c>
      <c r="AB16" s="6">
        <v>7</v>
      </c>
      <c r="AC16" s="5">
        <v>7000</v>
      </c>
      <c r="AD16" s="5">
        <v>7000</v>
      </c>
      <c r="AE16" s="6">
        <v>7</v>
      </c>
      <c r="AF16" s="6">
        <v>7000</v>
      </c>
      <c r="AG16" s="5">
        <v>7000</v>
      </c>
      <c r="AH16" s="5">
        <v>7</v>
      </c>
      <c r="AI16" s="6">
        <v>7000</v>
      </c>
      <c r="AJ16" s="6">
        <v>7000</v>
      </c>
      <c r="AK16" s="5">
        <v>7</v>
      </c>
      <c r="AL16" s="5">
        <v>7000</v>
      </c>
      <c r="AM16" s="6">
        <v>7000</v>
      </c>
      <c r="AN16" s="6">
        <v>7</v>
      </c>
      <c r="AO16" s="5">
        <v>7000</v>
      </c>
      <c r="AP16" s="5">
        <v>7000</v>
      </c>
      <c r="AQ16" s="6">
        <v>7</v>
      </c>
      <c r="AR16" s="6">
        <v>7000</v>
      </c>
      <c r="AS16" s="5">
        <v>7000</v>
      </c>
      <c r="AT16" s="5">
        <v>7</v>
      </c>
      <c r="AU16" s="6">
        <v>7000</v>
      </c>
      <c r="AV16" s="6">
        <v>7000</v>
      </c>
      <c r="AW16" s="5">
        <v>7</v>
      </c>
      <c r="AX16" s="5">
        <v>7000</v>
      </c>
      <c r="AY16" s="6">
        <v>7000</v>
      </c>
      <c r="AZ16" s="6">
        <v>7</v>
      </c>
      <c r="BA16" s="5">
        <v>0</v>
      </c>
      <c r="BB16" s="5">
        <v>84000</v>
      </c>
      <c r="BC16" s="6">
        <v>84000</v>
      </c>
      <c r="BD16" s="6">
        <v>7</v>
      </c>
      <c r="BE16" s="5"/>
    </row>
    <row r="17" spans="1:57" x14ac:dyDescent="0.3">
      <c r="A17" s="7"/>
      <c r="B17" s="7"/>
      <c r="C17" s="8" t="s">
        <v>71</v>
      </c>
      <c r="D17" s="8" t="s">
        <v>57</v>
      </c>
      <c r="E17" s="7" t="s">
        <v>95</v>
      </c>
      <c r="F17" s="7" t="s">
        <v>105</v>
      </c>
      <c r="G17" s="8"/>
      <c r="H17" s="8">
        <v>129855</v>
      </c>
      <c r="I17" s="7">
        <v>5841813202</v>
      </c>
      <c r="J17" s="7" t="s">
        <v>61</v>
      </c>
      <c r="K17" s="8" t="s">
        <v>106</v>
      </c>
      <c r="L17" s="8" t="s">
        <v>67</v>
      </c>
      <c r="M17" s="7" t="s">
        <v>68</v>
      </c>
      <c r="N17" s="7" t="s">
        <v>69</v>
      </c>
      <c r="O17" s="8"/>
      <c r="P17" s="8" t="s">
        <v>70</v>
      </c>
      <c r="Q17" s="7">
        <v>3000</v>
      </c>
      <c r="R17" s="7">
        <v>3000</v>
      </c>
      <c r="S17" s="8">
        <v>3</v>
      </c>
      <c r="T17" s="8">
        <v>3000</v>
      </c>
      <c r="U17" s="7">
        <v>3000</v>
      </c>
      <c r="V17" s="7">
        <v>3</v>
      </c>
      <c r="W17" s="8">
        <v>3000</v>
      </c>
      <c r="X17" s="8">
        <v>3000</v>
      </c>
      <c r="Y17" s="7">
        <v>3</v>
      </c>
      <c r="Z17" s="7">
        <v>3000</v>
      </c>
      <c r="AA17" s="8">
        <v>3000</v>
      </c>
      <c r="AB17" s="8">
        <v>3</v>
      </c>
      <c r="AC17" s="7">
        <v>3000</v>
      </c>
      <c r="AD17" s="7">
        <v>3000</v>
      </c>
      <c r="AE17" s="8">
        <v>3</v>
      </c>
      <c r="AF17" s="8">
        <v>3000</v>
      </c>
      <c r="AG17" s="7">
        <v>3000</v>
      </c>
      <c r="AH17" s="7">
        <v>3</v>
      </c>
      <c r="AI17" s="8">
        <v>3000</v>
      </c>
      <c r="AJ17" s="8">
        <v>3000</v>
      </c>
      <c r="AK17" s="7">
        <v>3</v>
      </c>
      <c r="AL17" s="7">
        <v>3000</v>
      </c>
      <c r="AM17" s="8">
        <v>3000</v>
      </c>
      <c r="AN17" s="8">
        <v>3</v>
      </c>
      <c r="AO17" s="7">
        <v>3000</v>
      </c>
      <c r="AP17" s="7">
        <v>3000</v>
      </c>
      <c r="AQ17" s="8">
        <v>3</v>
      </c>
      <c r="AR17" s="8">
        <v>3000</v>
      </c>
      <c r="AS17" s="7">
        <v>3000</v>
      </c>
      <c r="AT17" s="7">
        <v>3</v>
      </c>
      <c r="AU17" s="8">
        <v>3000</v>
      </c>
      <c r="AV17" s="8">
        <v>3000</v>
      </c>
      <c r="AW17" s="7">
        <v>3</v>
      </c>
      <c r="AX17" s="7">
        <v>3000</v>
      </c>
      <c r="AY17" s="8">
        <v>3000</v>
      </c>
      <c r="AZ17" s="8">
        <v>3</v>
      </c>
      <c r="BA17" s="7">
        <v>0</v>
      </c>
      <c r="BB17" s="7">
        <v>36000</v>
      </c>
      <c r="BC17" s="8">
        <v>36000</v>
      </c>
      <c r="BD17" s="8">
        <v>3</v>
      </c>
      <c r="BE17" s="5"/>
    </row>
    <row r="18" spans="1:57" x14ac:dyDescent="0.3">
      <c r="A18" s="5"/>
      <c r="B18" s="5"/>
      <c r="C18" s="6" t="s">
        <v>2</v>
      </c>
      <c r="D18" s="6" t="s">
        <v>57</v>
      </c>
      <c r="E18" s="5" t="s">
        <v>107</v>
      </c>
      <c r="F18" s="5" t="s">
        <v>108</v>
      </c>
      <c r="G18" s="6"/>
      <c r="H18" s="6">
        <v>365477</v>
      </c>
      <c r="I18" s="5">
        <v>5841813202</v>
      </c>
      <c r="J18" s="5" t="s">
        <v>61</v>
      </c>
      <c r="K18" s="6" t="s">
        <v>109</v>
      </c>
      <c r="L18" s="6" t="s">
        <v>67</v>
      </c>
      <c r="M18" s="5" t="s">
        <v>68</v>
      </c>
      <c r="N18" s="5" t="s">
        <v>69</v>
      </c>
      <c r="O18" s="6"/>
      <c r="P18" s="6" t="s">
        <v>70</v>
      </c>
      <c r="Q18" s="5">
        <v>5000</v>
      </c>
      <c r="R18" s="5">
        <v>5000</v>
      </c>
      <c r="S18" s="6">
        <v>5</v>
      </c>
      <c r="T18" s="6">
        <v>5000</v>
      </c>
      <c r="U18" s="5">
        <v>5000</v>
      </c>
      <c r="V18" s="5">
        <v>5</v>
      </c>
      <c r="W18" s="6">
        <v>5000</v>
      </c>
      <c r="X18" s="6">
        <v>5000</v>
      </c>
      <c r="Y18" s="5">
        <v>5</v>
      </c>
      <c r="Z18" s="5">
        <v>5000</v>
      </c>
      <c r="AA18" s="6">
        <v>5000</v>
      </c>
      <c r="AB18" s="6">
        <v>5</v>
      </c>
      <c r="AC18" s="5">
        <v>5000</v>
      </c>
      <c r="AD18" s="5">
        <v>5000</v>
      </c>
      <c r="AE18" s="6">
        <v>5</v>
      </c>
      <c r="AF18" s="6">
        <v>5000</v>
      </c>
      <c r="AG18" s="5">
        <v>5000</v>
      </c>
      <c r="AH18" s="5">
        <v>5</v>
      </c>
      <c r="AI18" s="6">
        <v>5000</v>
      </c>
      <c r="AJ18" s="6">
        <v>5000</v>
      </c>
      <c r="AK18" s="5">
        <v>5</v>
      </c>
      <c r="AL18" s="5">
        <v>5000</v>
      </c>
      <c r="AM18" s="6">
        <v>5000</v>
      </c>
      <c r="AN18" s="6">
        <v>5</v>
      </c>
      <c r="AO18" s="5">
        <v>5000</v>
      </c>
      <c r="AP18" s="5">
        <v>5000</v>
      </c>
      <c r="AQ18" s="6">
        <v>5</v>
      </c>
      <c r="AR18" s="6">
        <v>5000</v>
      </c>
      <c r="AS18" s="5">
        <v>5000</v>
      </c>
      <c r="AT18" s="5">
        <v>5</v>
      </c>
      <c r="AU18" s="6">
        <v>5000</v>
      </c>
      <c r="AV18" s="6">
        <v>5000</v>
      </c>
      <c r="AW18" s="5">
        <v>5</v>
      </c>
      <c r="AX18" s="5">
        <v>5000</v>
      </c>
      <c r="AY18" s="6">
        <v>5000</v>
      </c>
      <c r="AZ18" s="6">
        <v>5</v>
      </c>
      <c r="BA18" s="5">
        <v>0</v>
      </c>
      <c r="BB18" s="5">
        <v>60000</v>
      </c>
      <c r="BC18" s="6">
        <v>60000</v>
      </c>
      <c r="BD18" s="6">
        <v>5</v>
      </c>
      <c r="BE18" s="5"/>
    </row>
    <row r="19" spans="1:57" x14ac:dyDescent="0.3">
      <c r="A19" s="7"/>
      <c r="B19" s="7"/>
      <c r="C19" s="8" t="s">
        <v>71</v>
      </c>
      <c r="D19" s="8" t="s">
        <v>57</v>
      </c>
      <c r="E19" s="7" t="s">
        <v>110</v>
      </c>
      <c r="F19" s="7" t="s">
        <v>111</v>
      </c>
      <c r="G19" s="8"/>
      <c r="H19" s="8" t="s">
        <v>112</v>
      </c>
      <c r="I19" s="7">
        <v>5841813202</v>
      </c>
      <c r="J19" s="7" t="s">
        <v>61</v>
      </c>
      <c r="K19" s="8" t="s">
        <v>112</v>
      </c>
      <c r="L19" s="8" t="s">
        <v>113</v>
      </c>
      <c r="M19" s="7" t="s">
        <v>68</v>
      </c>
      <c r="N19" s="7" t="s">
        <v>69</v>
      </c>
      <c r="O19" s="8"/>
      <c r="P19" s="8" t="s">
        <v>70</v>
      </c>
      <c r="Q19" s="7">
        <v>4000</v>
      </c>
      <c r="R19" s="7">
        <v>4000</v>
      </c>
      <c r="S19" s="8">
        <v>4</v>
      </c>
      <c r="T19" s="8">
        <v>4000</v>
      </c>
      <c r="U19" s="7">
        <v>4000</v>
      </c>
      <c r="V19" s="7">
        <v>4</v>
      </c>
      <c r="W19" s="8">
        <v>4000</v>
      </c>
      <c r="X19" s="8">
        <v>4000</v>
      </c>
      <c r="Y19" s="7">
        <v>4</v>
      </c>
      <c r="Z19" s="7">
        <v>4000</v>
      </c>
      <c r="AA19" s="8">
        <v>4000</v>
      </c>
      <c r="AB19" s="8">
        <v>4</v>
      </c>
      <c r="AC19" s="7">
        <v>4000</v>
      </c>
      <c r="AD19" s="7">
        <v>4000</v>
      </c>
      <c r="AE19" s="8">
        <v>4</v>
      </c>
      <c r="AF19" s="8">
        <v>4000</v>
      </c>
      <c r="AG19" s="7">
        <v>4000</v>
      </c>
      <c r="AH19" s="7">
        <v>4</v>
      </c>
      <c r="AI19" s="8">
        <v>4000</v>
      </c>
      <c r="AJ19" s="8">
        <v>4000</v>
      </c>
      <c r="AK19" s="7">
        <v>4</v>
      </c>
      <c r="AL19" s="7">
        <v>4000</v>
      </c>
      <c r="AM19" s="8">
        <v>4000</v>
      </c>
      <c r="AN19" s="8">
        <v>4</v>
      </c>
      <c r="AO19" s="7">
        <v>4000</v>
      </c>
      <c r="AP19" s="7">
        <v>4000</v>
      </c>
      <c r="AQ19" s="8">
        <v>4</v>
      </c>
      <c r="AR19" s="8">
        <v>4000</v>
      </c>
      <c r="AS19" s="7">
        <v>4000</v>
      </c>
      <c r="AT19" s="7">
        <v>4</v>
      </c>
      <c r="AU19" s="8">
        <v>4000</v>
      </c>
      <c r="AV19" s="8">
        <v>4000</v>
      </c>
      <c r="AW19" s="7">
        <v>4</v>
      </c>
      <c r="AX19" s="7">
        <v>4000</v>
      </c>
      <c r="AY19" s="8">
        <v>4000</v>
      </c>
      <c r="AZ19" s="8">
        <v>4</v>
      </c>
      <c r="BA19" s="7">
        <v>0</v>
      </c>
      <c r="BB19" s="7">
        <v>48000</v>
      </c>
      <c r="BC19" s="8">
        <v>48000</v>
      </c>
      <c r="BD19" s="8">
        <v>4</v>
      </c>
      <c r="BE19" s="7"/>
    </row>
    <row r="20" spans="1:57" x14ac:dyDescent="0.3">
      <c r="A20" s="5"/>
      <c r="B20" s="5"/>
      <c r="C20" s="6" t="s">
        <v>2</v>
      </c>
      <c r="D20" s="6" t="s">
        <v>57</v>
      </c>
      <c r="E20" s="5" t="s">
        <v>72</v>
      </c>
      <c r="F20" s="5" t="s">
        <v>114</v>
      </c>
      <c r="G20" s="6"/>
      <c r="H20" s="6">
        <v>38617005</v>
      </c>
      <c r="I20" s="5">
        <v>5841843202</v>
      </c>
      <c r="J20" s="5" t="s">
        <v>61</v>
      </c>
      <c r="K20" s="6" t="s">
        <v>115</v>
      </c>
      <c r="L20" s="6" t="s">
        <v>67</v>
      </c>
      <c r="M20" s="5" t="s">
        <v>76</v>
      </c>
      <c r="N20" s="5" t="s">
        <v>69</v>
      </c>
      <c r="O20" s="6"/>
      <c r="P20" s="6" t="s">
        <v>70</v>
      </c>
      <c r="Q20" s="5">
        <v>3000</v>
      </c>
      <c r="R20" s="5">
        <v>3000</v>
      </c>
      <c r="S20" s="6">
        <v>3</v>
      </c>
      <c r="T20" s="6">
        <v>3000</v>
      </c>
      <c r="U20" s="5">
        <v>3000</v>
      </c>
      <c r="V20" s="5">
        <v>3</v>
      </c>
      <c r="W20" s="6">
        <v>3000</v>
      </c>
      <c r="X20" s="6">
        <v>3000</v>
      </c>
      <c r="Y20" s="5">
        <v>3</v>
      </c>
      <c r="Z20" s="5">
        <v>0</v>
      </c>
      <c r="AA20" s="6">
        <v>0</v>
      </c>
      <c r="AB20" s="6">
        <v>0</v>
      </c>
      <c r="AC20" s="5">
        <v>0</v>
      </c>
      <c r="AD20" s="5">
        <v>0</v>
      </c>
      <c r="AE20" s="6">
        <v>0</v>
      </c>
      <c r="AF20" s="6">
        <v>0</v>
      </c>
      <c r="AG20" s="5">
        <v>0</v>
      </c>
      <c r="AH20" s="5">
        <v>0</v>
      </c>
      <c r="AI20" s="6">
        <v>0</v>
      </c>
      <c r="AJ20" s="6">
        <v>0</v>
      </c>
      <c r="AK20" s="5">
        <v>0</v>
      </c>
      <c r="AL20" s="5">
        <v>0</v>
      </c>
      <c r="AM20" s="6">
        <v>0</v>
      </c>
      <c r="AN20" s="6">
        <v>0</v>
      </c>
      <c r="AO20" s="5">
        <v>0</v>
      </c>
      <c r="AP20" s="5">
        <v>0</v>
      </c>
      <c r="AQ20" s="6">
        <v>0</v>
      </c>
      <c r="AR20" s="6">
        <v>0</v>
      </c>
      <c r="AS20" s="5">
        <v>0</v>
      </c>
      <c r="AT20" s="5">
        <v>0</v>
      </c>
      <c r="AU20" s="6">
        <v>0</v>
      </c>
      <c r="AV20" s="6">
        <v>0</v>
      </c>
      <c r="AW20" s="5">
        <v>0</v>
      </c>
      <c r="AX20" s="5">
        <v>0</v>
      </c>
      <c r="AY20" s="6">
        <v>0</v>
      </c>
      <c r="AZ20" s="6">
        <v>0</v>
      </c>
      <c r="BA20" s="5">
        <v>0</v>
      </c>
      <c r="BB20" s="5">
        <v>9000</v>
      </c>
      <c r="BC20" s="6">
        <v>9000</v>
      </c>
      <c r="BD20" s="6">
        <v>0.8</v>
      </c>
      <c r="BE20" s="5"/>
    </row>
    <row r="21" spans="1:57" x14ac:dyDescent="0.3">
      <c r="A21" s="7"/>
      <c r="B21" s="7"/>
      <c r="C21" s="8"/>
      <c r="D21" s="8" t="s">
        <v>116</v>
      </c>
      <c r="E21" s="7"/>
      <c r="F21" s="7"/>
      <c r="G21" s="8"/>
      <c r="H21" s="8"/>
      <c r="I21" s="7"/>
      <c r="J21" s="7"/>
      <c r="K21" s="8"/>
      <c r="L21" s="8"/>
      <c r="M21" s="7"/>
      <c r="N21" s="7"/>
      <c r="O21" s="8"/>
      <c r="P21" s="8"/>
      <c r="Q21" s="7">
        <f>SUM($Q$3,$Q$4,$Q$5,$Q$6,$Q$7,$Q$8,$Q$9,$Q$10,$Q$11,$Q$12,$Q$13,$Q$14,$Q$15,$Q$16,$Q$17,$Q$18,$Q$19,$Q$20)</f>
        <v>85000</v>
      </c>
      <c r="R21" s="7">
        <f>SUM($R$3,$R$4,$R$5,$R$6,$R$7,$R$8,$R$9,$R$10,$R$11,$R$12,$R$13,$R$14,$R$15,$R$16,$R$17,$R$18,$R$19,$R$20)</f>
        <v>85000</v>
      </c>
      <c r="S21" s="8">
        <f>SUM($S$3,$S$4,$S$5,$S$6,$S$7,$S$8,$S$9,$S$10,$S$11,$S$12,$S$13,$S$14,$S$15,$S$16,$S$17,$S$18,$S$19,$S$20)</f>
        <v>85</v>
      </c>
      <c r="T21" s="8">
        <f>SUM($T$3,$T$4,$T$5,$T$6,$T$7,$T$8,$T$9,$T$10,$T$11,$T$12,$T$13,$T$14,$T$15,$T$16,$T$17,$T$18,$T$19,$T$20)</f>
        <v>85000</v>
      </c>
      <c r="U21" s="7">
        <f>SUM($U$3,$U$4,$U$5,$U$6,$U$7,$U$8,$U$9,$U$10,$U$11,$U$12,$U$13,$U$14,$U$15,$U$16,$U$17,$U$18,$U$19,$U$20)</f>
        <v>85000</v>
      </c>
      <c r="V21" s="7">
        <f>SUM($V$3,$V$4,$V$5,$V$6,$V$7,$V$8,$V$9,$V$10,$V$11,$V$12,$V$13,$V$14,$V$15,$V$16,$V$17,$V$18,$V$19,$V$20)</f>
        <v>85</v>
      </c>
      <c r="W21" s="8">
        <f>SUM($W$3,$W$4,$W$5,$W$6,$W$7,$W$8,$W$9,$W$10,$W$11,$W$12,$W$13,$W$14,$W$15,$W$16,$W$17,$W$18,$W$19,$W$20)</f>
        <v>85000</v>
      </c>
      <c r="X21" s="8">
        <f>SUM($X$3,$X$4,$X$5,$X$6,$X$7,$X$8,$X$9,$X$10,$X$11,$X$12,$X$13,$X$14,$X$15,$X$16,$X$17,$X$18,$X$19,$X$20)</f>
        <v>85000</v>
      </c>
      <c r="Y21" s="7">
        <f>SUM($Y$3,$Y$4,$Y$5,$Y$6,$Y$7,$Y$8,$Y$9,$Y$10,$Y$11,$Y$12,$Y$13,$Y$14,$Y$15,$Y$16,$Y$17,$Y$18,$Y$19,$Y$20)</f>
        <v>85</v>
      </c>
      <c r="Z21" s="7">
        <f>SUM($Z$3,$Z$4,$Z$5,$Z$6,$Z$7,$Z$8,$Z$9,$Z$10,$Z$11,$Z$12,$Z$13,$Z$14,$Z$15,$Z$16,$Z$17,$Z$18,$Z$19,$Z$20)</f>
        <v>82000</v>
      </c>
      <c r="AA21" s="8">
        <f>SUM($AA$3,$AA$4,$AA$5,$AA$6,$AA$7,$AA$8,$AA$9,$AA$10,$AA$11,$AA$12,$AA$13,$AA$14,$AA$15,$AA$16,$AA$17,$AA$18,$AA$19,$AA$20)</f>
        <v>82000</v>
      </c>
      <c r="AB21" s="8">
        <f>SUM($AB$3,$AB$4,$AB$5,$AB$6,$AB$7,$AB$8,$AB$9,$AB$10,$AB$11,$AB$12,$AB$13,$AB$14,$AB$15,$AB$16,$AB$17,$AB$18,$AB$19,$AB$20)</f>
        <v>82</v>
      </c>
      <c r="AC21" s="7">
        <f>SUM($AC$3,$AC$4,$AC$5,$AC$6,$AC$7,$AC$8,$AC$9,$AC$10,$AC$11,$AC$12,$AC$13,$AC$14,$AC$15,$AC$16,$AC$17,$AC$18,$AC$19,$AC$20)</f>
        <v>82000</v>
      </c>
      <c r="AD21" s="7">
        <f>SUM($AD$3,$AD$4,$AD$5,$AD$6,$AD$7,$AD$8,$AD$9,$AD$10,$AD$11,$AD$12,$AD$13,$AD$14,$AD$15,$AD$16,$AD$17,$AD$18,$AD$19,$AD$20)</f>
        <v>82000</v>
      </c>
      <c r="AE21" s="8">
        <f>SUM($AE$3,$AE$4,$AE$5,$AE$6,$AE$7,$AE$8,$AE$9,$AE$10,$AE$11,$AE$12,$AE$13,$AE$14,$AE$15,$AE$16,$AE$17,$AE$18,$AE$19,$AE$20)</f>
        <v>82</v>
      </c>
      <c r="AF21" s="8">
        <f>SUM($AF$3,$AF$4,$AF$5,$AF$6,$AF$7,$AF$8,$AF$9,$AF$10,$AF$11,$AF$12,$AF$13,$AF$14,$AF$15,$AF$16,$AF$17,$AF$18,$AF$19,$AF$20)</f>
        <v>82000</v>
      </c>
      <c r="AG21" s="7">
        <f>SUM($AG$3,$AG$4,$AG$5,$AG$6,$AG$7,$AG$8,$AG$9,$AG$10,$AG$11,$AG$12,$AG$13,$AG$14,$AG$15,$AG$16,$AG$17,$AG$18,$AG$19,$AG$20)</f>
        <v>82000</v>
      </c>
      <c r="AH21" s="7">
        <f>SUM($AH$3,$AH$4,$AH$5,$AH$6,$AH$7,$AH$8,$AH$9,$AH$10,$AH$11,$AH$12,$AH$13,$AH$14,$AH$15,$AH$16,$AH$17,$AH$18,$AH$19,$AH$20)</f>
        <v>82</v>
      </c>
      <c r="AI21" s="8">
        <f>SUM($AI$3,$AI$4,$AI$5,$AI$6,$AI$7,$AI$8,$AI$9,$AI$10,$AI$11,$AI$12,$AI$13,$AI$14,$AI$15,$AI$16,$AI$17,$AI$18,$AI$19,$AI$20)</f>
        <v>82000</v>
      </c>
      <c r="AJ21" s="8">
        <f>SUM($AJ$3,$AJ$4,$AJ$5,$AJ$6,$AJ$7,$AJ$8,$AJ$9,$AJ$10,$AJ$11,$AJ$12,$AJ$13,$AJ$14,$AJ$15,$AJ$16,$AJ$17,$AJ$18,$AJ$19,$AJ$20)</f>
        <v>82000</v>
      </c>
      <c r="AK21" s="7">
        <f>SUM($AK$3,$AK$4,$AK$5,$AK$6,$AK$7,$AK$8,$AK$9,$AK$10,$AK$11,$AK$12,$AK$13,$AK$14,$AK$15,$AK$16,$AK$17,$AK$18,$AK$19,$AK$20)</f>
        <v>82</v>
      </c>
      <c r="AL21" s="7">
        <f>SUM($AL$3,$AL$4,$AL$5,$AL$6,$AL$7,$AL$8,$AL$9,$AL$10,$AL$11,$AL$12,$AL$13,$AL$14,$AL$15,$AL$16,$AL$17,$AL$18,$AL$19,$AL$20)</f>
        <v>82000</v>
      </c>
      <c r="AM21" s="8">
        <f>SUM($AM$3,$AM$4,$AM$5,$AM$6,$AM$7,$AM$8,$AM$9,$AM$10,$AM$11,$AM$12,$AM$13,$AM$14,$AM$15,$AM$16,$AM$17,$AM$18,$AM$19,$AM$20)</f>
        <v>82000</v>
      </c>
      <c r="AN21" s="8">
        <f>SUM($AN$3,$AN$4,$AN$5,$AN$6,$AN$7,$AN$8,$AN$9,$AN$10,$AN$11,$AN$12,$AN$13,$AN$14,$AN$15,$AN$16,$AN$17,$AN$18,$AN$19,$AN$20)</f>
        <v>82</v>
      </c>
      <c r="AO21" s="7">
        <f>SUM($AO$3,$AO$4,$AO$5,$AO$6,$AO$7,$AO$8,$AO$9,$AO$10,$AO$11,$AO$12,$AO$13,$AO$14,$AO$15,$AO$16,$AO$17,$AO$18,$AO$19,$AO$20)</f>
        <v>82000</v>
      </c>
      <c r="AP21" s="7">
        <f>SUM($AP$3,$AP$4,$AP$5,$AP$6,$AP$7,$AP$8,$AP$9,$AP$10,$AP$11,$AP$12,$AP$13,$AP$14,$AP$15,$AP$16,$AP$17,$AP$18,$AP$19,$AP$20)</f>
        <v>82000</v>
      </c>
      <c r="AQ21" s="8">
        <f>SUM($AQ$3,$AQ$4,$AQ$5,$AQ$6,$AQ$7,$AQ$8,$AQ$9,$AQ$10,$AQ$11,$AQ$12,$AQ$13,$AQ$14,$AQ$15,$AQ$16,$AQ$17,$AQ$18,$AQ$19,$AQ$20)</f>
        <v>82</v>
      </c>
      <c r="AR21" s="8">
        <f>SUM($AR$3,$AR$4,$AR$5,$AR$6,$AR$7,$AR$8,$AR$9,$AR$10,$AR$11,$AR$12,$AR$13,$AR$14,$AR$15,$AR$16,$AR$17,$AR$18,$AR$19,$AR$20)</f>
        <v>82000</v>
      </c>
      <c r="AS21" s="7">
        <f>SUM($AS$3,$AS$4,$AS$5,$AS$6,$AS$7,$AS$8,$AS$9,$AS$10,$AS$11,$AS$12,$AS$13,$AS$14,$AS$15,$AS$16,$AS$17,$AS$18,$AS$19,$AS$20)</f>
        <v>82000</v>
      </c>
      <c r="AT21" s="7">
        <f>SUM($AT$3,$AT$4,$AT$5,$AT$6,$AT$7,$AT$8,$AT$9,$AT$10,$AT$11,$AT$12,$AT$13,$AT$14,$AT$15,$AT$16,$AT$17,$AT$18,$AT$19,$AT$20)</f>
        <v>82</v>
      </c>
      <c r="AU21" s="8">
        <f>SUM($AU$3,$AU$4,$AU$5,$AU$6,$AU$7,$AU$8,$AU$9,$AU$10,$AU$11,$AU$12,$AU$13,$AU$14,$AU$15,$AU$16,$AU$17,$AU$18,$AU$19,$AU$20)</f>
        <v>82000</v>
      </c>
      <c r="AV21" s="8">
        <f>SUM($AV$3,$AV$4,$AV$5,$AV$6,$AV$7,$AV$8,$AV$9,$AV$10,$AV$11,$AV$12,$AV$13,$AV$14,$AV$15,$AV$16,$AV$17,$AV$18,$AV$19,$AV$20)</f>
        <v>82000</v>
      </c>
      <c r="AW21" s="7">
        <f>SUM($AW$3,$AW$4,$AW$5,$AW$6,$AW$7,$AW$8,$AW$9,$AW$10,$AW$11,$AW$12,$AW$13,$AW$14,$AW$15,$AW$16,$AW$17,$AW$18,$AW$19,$AW$20)</f>
        <v>82</v>
      </c>
      <c r="AX21" s="7">
        <f>SUM($AX$3,$AX$4,$AX$5,$AX$6,$AX$7,$AX$8,$AX$9,$AX$10,$AX$11,$AX$12,$AX$13,$AX$14,$AX$15,$AX$16,$AX$17,$AX$18,$AX$19,$AX$20)</f>
        <v>82000</v>
      </c>
      <c r="AY21" s="8">
        <f>SUM($AY$3,$AY$4,$AY$5,$AY$6,$AY$7,$AY$8,$AY$9,$AY$10,$AY$11,$AY$12,$AY$13,$AY$14,$AY$15,$AY$16,$AY$17,$AY$18,$AY$19,$AY$20)</f>
        <v>82000</v>
      </c>
      <c r="AZ21" s="8">
        <f>SUM($AZ$3,$AZ$4,$AZ$5,$AZ$6,$AZ$7,$AZ$8,$AZ$9,$AZ$10,$AZ$11,$AZ$12,$AZ$13,$AZ$14,$AZ$15,$AZ$16,$AZ$17,$AZ$18,$AZ$19,$AZ$20)</f>
        <v>82</v>
      </c>
      <c r="BA21" s="7">
        <f>SUM($BA$3,$BA$4,$BA$5,$BA$6,$BA$7,$BA$8,$BA$9,$BA$10,$BA$11,$BA$12,$BA$13,$BA$14,$BA$15,$BA$16,$BA$17,$BA$18,$BA$19,$BA$20)</f>
        <v>0</v>
      </c>
      <c r="BB21" s="7">
        <f>SUM($BB$3,$BB$4,$BB$5,$BB$6,$BB$7,$BB$8,$BB$9,$BB$10,$BB$11,$BB$12,$BB$13,$BB$14,$BB$15,$BB$16,$BB$17,$BB$18,$BB$19,$BB$20)</f>
        <v>993000</v>
      </c>
      <c r="BC21" s="8">
        <f>SUM($BC$3,$BC$4,$BC$5,$BC$6,$BC$7,$BC$8,$BC$9,$BC$10,$BC$11,$BC$12,$BC$13,$BC$14,$BC$15,$BC$16,$BC$17,$BC$18,$BC$19,$BC$20)</f>
        <v>993000</v>
      </c>
      <c r="BD21" s="8">
        <f>SUM($BD$3,$BD$4,$BD$5,$BD$6,$BD$7,$BD$8,$BD$9,$BD$10,$BD$11,$BD$12,$BD$13,$BD$14,$BD$15,$BD$16,$BD$17,$BD$18,$BD$19,$BD$20)</f>
        <v>82.8</v>
      </c>
      <c r="BE21" s="5"/>
    </row>
    <row r="22" spans="1:57" x14ac:dyDescent="0.3">
      <c r="A22" s="5"/>
      <c r="B22" s="5"/>
      <c r="C22" s="6"/>
      <c r="D22" s="6"/>
      <c r="E22" s="5"/>
      <c r="F22" s="5"/>
      <c r="G22" s="6"/>
      <c r="H22" s="6"/>
      <c r="I22" s="5"/>
      <c r="J22" s="5"/>
      <c r="K22" s="6"/>
      <c r="L22" s="6"/>
      <c r="M22" s="5"/>
      <c r="N22" s="5"/>
      <c r="O22" s="6"/>
      <c r="P22" s="6"/>
      <c r="Q22" s="5"/>
      <c r="R22" s="5"/>
      <c r="S22" s="6"/>
      <c r="T22" s="6"/>
      <c r="U22" s="5"/>
      <c r="V22" s="5"/>
      <c r="W22" s="6"/>
      <c r="X22" s="6"/>
      <c r="Y22" s="5"/>
      <c r="Z22" s="5"/>
      <c r="AA22" s="6"/>
      <c r="AB22" s="6"/>
      <c r="AC22" s="5"/>
      <c r="AD22" s="5"/>
      <c r="AE22" s="6"/>
      <c r="AF22" s="6"/>
      <c r="AG22" s="5"/>
      <c r="AH22" s="5"/>
      <c r="AI22" s="6"/>
      <c r="AJ22" s="6"/>
      <c r="AK22" s="5"/>
      <c r="AL22" s="5"/>
      <c r="AM22" s="6"/>
      <c r="AN22" s="6"/>
      <c r="AO22" s="5"/>
      <c r="AP22" s="5"/>
      <c r="AQ22" s="6"/>
      <c r="AR22" s="6"/>
      <c r="AS22" s="5"/>
      <c r="AT22" s="5"/>
      <c r="AU22" s="6"/>
      <c r="AV22" s="6"/>
      <c r="AW22" s="5"/>
      <c r="AX22" s="5"/>
      <c r="AY22" s="6"/>
      <c r="AZ22" s="6"/>
      <c r="BA22" s="5"/>
      <c r="BB22" s="5"/>
      <c r="BC22" s="6"/>
      <c r="BD22" s="6"/>
      <c r="BE22" s="5"/>
    </row>
    <row r="23" spans="1:57" x14ac:dyDescent="0.3">
      <c r="A23" s="7" t="s">
        <v>70</v>
      </c>
      <c r="B23" s="7"/>
      <c r="C23" s="8" t="s">
        <v>117</v>
      </c>
      <c r="D23" s="8" t="s">
        <v>57</v>
      </c>
      <c r="E23" s="7" t="s">
        <v>95</v>
      </c>
      <c r="F23" s="7" t="s">
        <v>118</v>
      </c>
      <c r="G23" s="8"/>
      <c r="H23" s="8" t="s">
        <v>119</v>
      </c>
      <c r="I23" s="7">
        <v>5841813202</v>
      </c>
      <c r="J23" s="7" t="s">
        <v>61</v>
      </c>
      <c r="K23" s="8" t="s">
        <v>119</v>
      </c>
      <c r="L23" s="8" t="s">
        <v>113</v>
      </c>
      <c r="M23" s="7" t="s">
        <v>68</v>
      </c>
      <c r="N23" s="7" t="s">
        <v>120</v>
      </c>
      <c r="O23" s="8"/>
      <c r="P23" s="8" t="s">
        <v>70</v>
      </c>
      <c r="Q23" s="7">
        <v>3000</v>
      </c>
      <c r="R23" s="7">
        <v>3000</v>
      </c>
      <c r="S23" s="8">
        <v>3</v>
      </c>
      <c r="T23" s="8">
        <v>3000</v>
      </c>
      <c r="U23" s="7">
        <v>3000</v>
      </c>
      <c r="V23" s="7">
        <v>3</v>
      </c>
      <c r="W23" s="8">
        <v>3000</v>
      </c>
      <c r="X23" s="8">
        <v>3000</v>
      </c>
      <c r="Y23" s="7">
        <v>3</v>
      </c>
      <c r="Z23" s="7">
        <v>3000</v>
      </c>
      <c r="AA23" s="8">
        <v>3000</v>
      </c>
      <c r="AB23" s="8">
        <v>3</v>
      </c>
      <c r="AC23" s="7">
        <v>3000</v>
      </c>
      <c r="AD23" s="7">
        <v>3000</v>
      </c>
      <c r="AE23" s="8">
        <v>3</v>
      </c>
      <c r="AF23" s="8">
        <v>3000</v>
      </c>
      <c r="AG23" s="7">
        <v>3000</v>
      </c>
      <c r="AH23" s="7">
        <v>3</v>
      </c>
      <c r="AI23" s="8">
        <v>3000</v>
      </c>
      <c r="AJ23" s="8">
        <v>3000</v>
      </c>
      <c r="AK23" s="7">
        <v>3</v>
      </c>
      <c r="AL23" s="7">
        <v>3000</v>
      </c>
      <c r="AM23" s="8">
        <v>3000</v>
      </c>
      <c r="AN23" s="8">
        <v>3</v>
      </c>
      <c r="AO23" s="7">
        <v>3000</v>
      </c>
      <c r="AP23" s="7">
        <v>3000</v>
      </c>
      <c r="AQ23" s="8">
        <v>3</v>
      </c>
      <c r="AR23" s="8">
        <v>3000</v>
      </c>
      <c r="AS23" s="7">
        <v>3000</v>
      </c>
      <c r="AT23" s="7">
        <v>3</v>
      </c>
      <c r="AU23" s="8">
        <v>3000</v>
      </c>
      <c r="AV23" s="8">
        <v>3000</v>
      </c>
      <c r="AW23" s="7">
        <v>3</v>
      </c>
      <c r="AX23" s="7">
        <v>3000</v>
      </c>
      <c r="AY23" s="8">
        <v>3000</v>
      </c>
      <c r="AZ23" s="8">
        <v>3</v>
      </c>
      <c r="BA23" s="7">
        <v>0</v>
      </c>
      <c r="BB23" s="7">
        <v>36000</v>
      </c>
      <c r="BC23" s="8">
        <v>36000</v>
      </c>
      <c r="BD23" s="8">
        <v>3</v>
      </c>
      <c r="BE23" s="7"/>
    </row>
    <row r="24" spans="1:57" x14ac:dyDescent="0.3">
      <c r="A24" s="5" t="s">
        <v>70</v>
      </c>
      <c r="B24" s="5"/>
      <c r="C24" s="6" t="s">
        <v>117</v>
      </c>
      <c r="D24" s="6" t="s">
        <v>57</v>
      </c>
      <c r="E24" s="5" t="s">
        <v>121</v>
      </c>
      <c r="F24" s="5" t="s">
        <v>122</v>
      </c>
      <c r="G24" s="6"/>
      <c r="H24" s="6" t="s">
        <v>123</v>
      </c>
      <c r="I24" s="5">
        <v>5842263202</v>
      </c>
      <c r="J24" s="5" t="s">
        <v>61</v>
      </c>
      <c r="K24" s="6" t="s">
        <v>123</v>
      </c>
      <c r="L24" s="6" t="s">
        <v>113</v>
      </c>
      <c r="M24" s="5" t="s">
        <v>76</v>
      </c>
      <c r="N24" s="5" t="s">
        <v>69</v>
      </c>
      <c r="O24" s="6"/>
      <c r="P24" s="6" t="s">
        <v>70</v>
      </c>
      <c r="Q24" s="5">
        <v>5000</v>
      </c>
      <c r="R24" s="5">
        <v>5000</v>
      </c>
      <c r="S24" s="6">
        <v>5</v>
      </c>
      <c r="T24" s="6">
        <v>5000</v>
      </c>
      <c r="U24" s="5">
        <v>5000</v>
      </c>
      <c r="V24" s="5">
        <v>5</v>
      </c>
      <c r="W24" s="6">
        <v>5000</v>
      </c>
      <c r="X24" s="6">
        <v>5000</v>
      </c>
      <c r="Y24" s="5">
        <v>5</v>
      </c>
      <c r="Z24" s="5">
        <v>5000</v>
      </c>
      <c r="AA24" s="6">
        <v>5000</v>
      </c>
      <c r="AB24" s="6">
        <v>5</v>
      </c>
      <c r="AC24" s="5">
        <v>5000</v>
      </c>
      <c r="AD24" s="5">
        <v>5000</v>
      </c>
      <c r="AE24" s="6">
        <v>5</v>
      </c>
      <c r="AF24" s="6">
        <v>5000</v>
      </c>
      <c r="AG24" s="5">
        <v>5000</v>
      </c>
      <c r="AH24" s="5">
        <v>5</v>
      </c>
      <c r="AI24" s="6">
        <v>5000</v>
      </c>
      <c r="AJ24" s="6">
        <v>5000</v>
      </c>
      <c r="AK24" s="5">
        <v>5</v>
      </c>
      <c r="AL24" s="5">
        <v>5000</v>
      </c>
      <c r="AM24" s="6">
        <v>5000</v>
      </c>
      <c r="AN24" s="6">
        <v>5</v>
      </c>
      <c r="AO24" s="5">
        <v>5000</v>
      </c>
      <c r="AP24" s="5">
        <v>5000</v>
      </c>
      <c r="AQ24" s="6">
        <v>5</v>
      </c>
      <c r="AR24" s="6">
        <v>5000</v>
      </c>
      <c r="AS24" s="5">
        <v>5000</v>
      </c>
      <c r="AT24" s="5">
        <v>5</v>
      </c>
      <c r="AU24" s="6">
        <v>5000</v>
      </c>
      <c r="AV24" s="6">
        <v>5000</v>
      </c>
      <c r="AW24" s="5">
        <v>5</v>
      </c>
      <c r="AX24" s="5">
        <v>5000</v>
      </c>
      <c r="AY24" s="6">
        <v>5000</v>
      </c>
      <c r="AZ24" s="6">
        <v>5</v>
      </c>
      <c r="BA24" s="5">
        <v>0</v>
      </c>
      <c r="BB24" s="5">
        <v>60000</v>
      </c>
      <c r="BC24" s="6">
        <v>60000</v>
      </c>
      <c r="BD24" s="6">
        <v>5</v>
      </c>
      <c r="BE24" s="5"/>
    </row>
    <row r="25" spans="1:57" x14ac:dyDescent="0.3">
      <c r="A25" s="7" t="s">
        <v>70</v>
      </c>
      <c r="B25" s="7"/>
      <c r="C25" s="8" t="s">
        <v>117</v>
      </c>
      <c r="D25" s="8" t="s">
        <v>57</v>
      </c>
      <c r="E25" s="7" t="s">
        <v>107</v>
      </c>
      <c r="F25" s="7" t="s">
        <v>108</v>
      </c>
      <c r="G25" s="8"/>
      <c r="H25" s="8">
        <v>365477</v>
      </c>
      <c r="I25" s="7">
        <v>5841813202</v>
      </c>
      <c r="J25" s="7" t="s">
        <v>61</v>
      </c>
      <c r="K25" s="8" t="s">
        <v>109</v>
      </c>
      <c r="L25" s="8" t="s">
        <v>67</v>
      </c>
      <c r="M25" s="7" t="s">
        <v>68</v>
      </c>
      <c r="N25" s="7" t="s">
        <v>69</v>
      </c>
      <c r="O25" s="8"/>
      <c r="P25" s="8" t="s">
        <v>70</v>
      </c>
      <c r="Q25" s="7">
        <v>5000</v>
      </c>
      <c r="R25" s="7">
        <v>5000</v>
      </c>
      <c r="S25" s="8">
        <v>5</v>
      </c>
      <c r="T25" s="8">
        <v>5000</v>
      </c>
      <c r="U25" s="7">
        <v>5000</v>
      </c>
      <c r="V25" s="7">
        <v>5</v>
      </c>
      <c r="W25" s="8">
        <v>5000</v>
      </c>
      <c r="X25" s="8">
        <v>5000</v>
      </c>
      <c r="Y25" s="7">
        <v>5</v>
      </c>
      <c r="Z25" s="7">
        <v>5000</v>
      </c>
      <c r="AA25" s="8">
        <v>5000</v>
      </c>
      <c r="AB25" s="8">
        <v>5</v>
      </c>
      <c r="AC25" s="7">
        <v>5000</v>
      </c>
      <c r="AD25" s="7">
        <v>5000</v>
      </c>
      <c r="AE25" s="8">
        <v>5</v>
      </c>
      <c r="AF25" s="8">
        <v>5000</v>
      </c>
      <c r="AG25" s="7">
        <v>5000</v>
      </c>
      <c r="AH25" s="7">
        <v>5</v>
      </c>
      <c r="AI25" s="8">
        <v>5000</v>
      </c>
      <c r="AJ25" s="8">
        <v>5000</v>
      </c>
      <c r="AK25" s="7">
        <v>5</v>
      </c>
      <c r="AL25" s="7">
        <v>5000</v>
      </c>
      <c r="AM25" s="8">
        <v>5000</v>
      </c>
      <c r="AN25" s="8">
        <v>5</v>
      </c>
      <c r="AO25" s="7">
        <v>5000</v>
      </c>
      <c r="AP25" s="7">
        <v>5000</v>
      </c>
      <c r="AQ25" s="8">
        <v>5</v>
      </c>
      <c r="AR25" s="8">
        <v>5000</v>
      </c>
      <c r="AS25" s="7">
        <v>5000</v>
      </c>
      <c r="AT25" s="7">
        <v>5</v>
      </c>
      <c r="AU25" s="8">
        <v>5000</v>
      </c>
      <c r="AV25" s="8">
        <v>5000</v>
      </c>
      <c r="AW25" s="7">
        <v>5</v>
      </c>
      <c r="AX25" s="7">
        <v>5000</v>
      </c>
      <c r="AY25" s="8">
        <v>5000</v>
      </c>
      <c r="AZ25" s="8">
        <v>5</v>
      </c>
      <c r="BA25" s="7">
        <v>0</v>
      </c>
      <c r="BB25" s="7">
        <v>60000</v>
      </c>
      <c r="BC25" s="8">
        <v>60000</v>
      </c>
      <c r="BD25" s="8">
        <v>5</v>
      </c>
      <c r="BE25" s="7"/>
    </row>
    <row r="26" spans="1:57" x14ac:dyDescent="0.3">
      <c r="A26" s="5" t="s">
        <v>70</v>
      </c>
      <c r="B26" s="5"/>
      <c r="C26" s="6" t="s">
        <v>117</v>
      </c>
      <c r="D26" s="6" t="s">
        <v>57</v>
      </c>
      <c r="E26" s="5" t="s">
        <v>110</v>
      </c>
      <c r="F26" s="5" t="s">
        <v>111</v>
      </c>
      <c r="G26" s="6"/>
      <c r="H26" s="6" t="s">
        <v>112</v>
      </c>
      <c r="I26" s="5">
        <v>5841813202</v>
      </c>
      <c r="J26" s="5" t="s">
        <v>61</v>
      </c>
      <c r="K26" s="6" t="s">
        <v>112</v>
      </c>
      <c r="L26" s="6" t="s">
        <v>113</v>
      </c>
      <c r="M26" s="5" t="s">
        <v>68</v>
      </c>
      <c r="N26" s="5" t="s">
        <v>69</v>
      </c>
      <c r="O26" s="6"/>
      <c r="P26" s="6" t="s">
        <v>70</v>
      </c>
      <c r="Q26" s="5">
        <v>4000</v>
      </c>
      <c r="R26" s="5">
        <v>4000</v>
      </c>
      <c r="S26" s="6">
        <v>4</v>
      </c>
      <c r="T26" s="6">
        <v>4000</v>
      </c>
      <c r="U26" s="5">
        <v>4000</v>
      </c>
      <c r="V26" s="5">
        <v>4</v>
      </c>
      <c r="W26" s="6">
        <v>4000</v>
      </c>
      <c r="X26" s="6">
        <v>4000</v>
      </c>
      <c r="Y26" s="5">
        <v>4</v>
      </c>
      <c r="Z26" s="5">
        <v>4000</v>
      </c>
      <c r="AA26" s="6">
        <v>4000</v>
      </c>
      <c r="AB26" s="6">
        <v>4</v>
      </c>
      <c r="AC26" s="5">
        <v>4000</v>
      </c>
      <c r="AD26" s="5">
        <v>4000</v>
      </c>
      <c r="AE26" s="6">
        <v>4</v>
      </c>
      <c r="AF26" s="6">
        <v>4000</v>
      </c>
      <c r="AG26" s="5">
        <v>4000</v>
      </c>
      <c r="AH26" s="5">
        <v>4</v>
      </c>
      <c r="AI26" s="6">
        <v>4000</v>
      </c>
      <c r="AJ26" s="6">
        <v>4000</v>
      </c>
      <c r="AK26" s="5">
        <v>4</v>
      </c>
      <c r="AL26" s="5">
        <v>4000</v>
      </c>
      <c r="AM26" s="6">
        <v>4000</v>
      </c>
      <c r="AN26" s="6">
        <v>4</v>
      </c>
      <c r="AO26" s="5">
        <v>4000</v>
      </c>
      <c r="AP26" s="5">
        <v>4000</v>
      </c>
      <c r="AQ26" s="6">
        <v>4</v>
      </c>
      <c r="AR26" s="6">
        <v>4000</v>
      </c>
      <c r="AS26" s="5">
        <v>4000</v>
      </c>
      <c r="AT26" s="5">
        <v>4</v>
      </c>
      <c r="AU26" s="6">
        <v>4000</v>
      </c>
      <c r="AV26" s="6">
        <v>4000</v>
      </c>
      <c r="AW26" s="5">
        <v>4</v>
      </c>
      <c r="AX26" s="5">
        <v>4000</v>
      </c>
      <c r="AY26" s="6">
        <v>4000</v>
      </c>
      <c r="AZ26" s="6">
        <v>4</v>
      </c>
      <c r="BA26" s="5">
        <v>0</v>
      </c>
      <c r="BB26" s="5">
        <v>48000</v>
      </c>
      <c r="BC26" s="6">
        <v>48000</v>
      </c>
      <c r="BD26" s="6">
        <v>4</v>
      </c>
      <c r="BE26" s="5"/>
    </row>
    <row r="27" spans="1:57" x14ac:dyDescent="0.3">
      <c r="A27" s="7" t="s">
        <v>70</v>
      </c>
      <c r="B27" s="7"/>
      <c r="C27" s="8" t="s">
        <v>117</v>
      </c>
      <c r="D27" s="8" t="s">
        <v>57</v>
      </c>
      <c r="E27" s="7" t="s">
        <v>72</v>
      </c>
      <c r="F27" s="7" t="s">
        <v>114</v>
      </c>
      <c r="G27" s="8"/>
      <c r="H27" s="8">
        <v>38617005</v>
      </c>
      <c r="I27" s="7">
        <v>5841843202</v>
      </c>
      <c r="J27" s="7" t="s">
        <v>61</v>
      </c>
      <c r="K27" s="8" t="s">
        <v>115</v>
      </c>
      <c r="L27" s="8" t="s">
        <v>67</v>
      </c>
      <c r="M27" s="7" t="s">
        <v>76</v>
      </c>
      <c r="N27" s="7" t="s">
        <v>69</v>
      </c>
      <c r="O27" s="8"/>
      <c r="P27" s="8" t="s">
        <v>70</v>
      </c>
      <c r="Q27" s="7">
        <v>3000</v>
      </c>
      <c r="R27" s="7">
        <v>3000</v>
      </c>
      <c r="S27" s="8">
        <v>3</v>
      </c>
      <c r="T27" s="8">
        <v>3000</v>
      </c>
      <c r="U27" s="7">
        <v>3000</v>
      </c>
      <c r="V27" s="7">
        <v>3</v>
      </c>
      <c r="W27" s="8">
        <v>3000</v>
      </c>
      <c r="X27" s="8">
        <v>3000</v>
      </c>
      <c r="Y27" s="7">
        <v>3</v>
      </c>
      <c r="Z27" s="7">
        <v>0</v>
      </c>
      <c r="AA27" s="8">
        <v>0</v>
      </c>
      <c r="AB27" s="8">
        <v>0</v>
      </c>
      <c r="AC27" s="7">
        <v>0</v>
      </c>
      <c r="AD27" s="7">
        <v>0</v>
      </c>
      <c r="AE27" s="8">
        <v>0</v>
      </c>
      <c r="AF27" s="8">
        <v>0</v>
      </c>
      <c r="AG27" s="7">
        <v>0</v>
      </c>
      <c r="AH27" s="7">
        <v>0</v>
      </c>
      <c r="AI27" s="8">
        <v>0</v>
      </c>
      <c r="AJ27" s="8">
        <v>0</v>
      </c>
      <c r="AK27" s="7">
        <v>0</v>
      </c>
      <c r="AL27" s="7">
        <v>0</v>
      </c>
      <c r="AM27" s="8">
        <v>0</v>
      </c>
      <c r="AN27" s="8">
        <v>0</v>
      </c>
      <c r="AO27" s="7">
        <v>0</v>
      </c>
      <c r="AP27" s="7">
        <v>0</v>
      </c>
      <c r="AQ27" s="8">
        <v>0</v>
      </c>
      <c r="AR27" s="8">
        <v>0</v>
      </c>
      <c r="AS27" s="7">
        <v>0</v>
      </c>
      <c r="AT27" s="7">
        <v>0</v>
      </c>
      <c r="AU27" s="8">
        <v>0</v>
      </c>
      <c r="AV27" s="8">
        <v>0</v>
      </c>
      <c r="AW27" s="7">
        <v>0</v>
      </c>
      <c r="AX27" s="7">
        <v>0</v>
      </c>
      <c r="AY27" s="8">
        <v>0</v>
      </c>
      <c r="AZ27" s="8">
        <v>0</v>
      </c>
      <c r="BA27" s="7">
        <v>0</v>
      </c>
      <c r="BB27" s="7">
        <v>9000</v>
      </c>
      <c r="BC27" s="8">
        <v>9000</v>
      </c>
      <c r="BD27" s="8">
        <v>0.8</v>
      </c>
      <c r="BE27" s="7"/>
    </row>
    <row r="28" spans="1:57" x14ac:dyDescent="0.3">
      <c r="A28" s="5" t="s">
        <v>70</v>
      </c>
      <c r="B28" s="5"/>
      <c r="C28" s="6" t="s">
        <v>117</v>
      </c>
      <c r="D28" s="6" t="s">
        <v>57</v>
      </c>
      <c r="E28" s="5" t="s">
        <v>95</v>
      </c>
      <c r="F28" s="5" t="s">
        <v>105</v>
      </c>
      <c r="G28" s="6"/>
      <c r="H28" s="6">
        <v>129855</v>
      </c>
      <c r="I28" s="5">
        <v>5841813202</v>
      </c>
      <c r="J28" s="5" t="s">
        <v>61</v>
      </c>
      <c r="K28" s="6" t="s">
        <v>106</v>
      </c>
      <c r="L28" s="6" t="s">
        <v>67</v>
      </c>
      <c r="M28" s="5" t="s">
        <v>68</v>
      </c>
      <c r="N28" s="5" t="s">
        <v>69</v>
      </c>
      <c r="O28" s="6"/>
      <c r="P28" s="6" t="s">
        <v>70</v>
      </c>
      <c r="Q28" s="5">
        <v>3000</v>
      </c>
      <c r="R28" s="5">
        <v>3000</v>
      </c>
      <c r="S28" s="6">
        <v>3</v>
      </c>
      <c r="T28" s="6">
        <v>3000</v>
      </c>
      <c r="U28" s="5">
        <v>3000</v>
      </c>
      <c r="V28" s="5">
        <v>3</v>
      </c>
      <c r="W28" s="6">
        <v>3000</v>
      </c>
      <c r="X28" s="6">
        <v>3000</v>
      </c>
      <c r="Y28" s="5">
        <v>3</v>
      </c>
      <c r="Z28" s="5">
        <v>3000</v>
      </c>
      <c r="AA28" s="6">
        <v>3000</v>
      </c>
      <c r="AB28" s="6">
        <v>3</v>
      </c>
      <c r="AC28" s="5">
        <v>3000</v>
      </c>
      <c r="AD28" s="5">
        <v>3000</v>
      </c>
      <c r="AE28" s="6">
        <v>3</v>
      </c>
      <c r="AF28" s="6">
        <v>3000</v>
      </c>
      <c r="AG28" s="5">
        <v>3000</v>
      </c>
      <c r="AH28" s="5">
        <v>3</v>
      </c>
      <c r="AI28" s="6">
        <v>3000</v>
      </c>
      <c r="AJ28" s="6">
        <v>3000</v>
      </c>
      <c r="AK28" s="5">
        <v>3</v>
      </c>
      <c r="AL28" s="5">
        <v>3000</v>
      </c>
      <c r="AM28" s="6">
        <v>3000</v>
      </c>
      <c r="AN28" s="6">
        <v>3</v>
      </c>
      <c r="AO28" s="5">
        <v>3000</v>
      </c>
      <c r="AP28" s="5">
        <v>3000</v>
      </c>
      <c r="AQ28" s="6">
        <v>3</v>
      </c>
      <c r="AR28" s="6">
        <v>3000</v>
      </c>
      <c r="AS28" s="5">
        <v>3000</v>
      </c>
      <c r="AT28" s="5">
        <v>3</v>
      </c>
      <c r="AU28" s="6">
        <v>3000</v>
      </c>
      <c r="AV28" s="6">
        <v>3000</v>
      </c>
      <c r="AW28" s="5">
        <v>3</v>
      </c>
      <c r="AX28" s="5">
        <v>3000</v>
      </c>
      <c r="AY28" s="6">
        <v>3000</v>
      </c>
      <c r="AZ28" s="6">
        <v>3</v>
      </c>
      <c r="BA28" s="5">
        <v>0</v>
      </c>
      <c r="BB28" s="5">
        <v>36000</v>
      </c>
      <c r="BC28" s="6">
        <v>36000</v>
      </c>
      <c r="BD28" s="6">
        <v>3</v>
      </c>
      <c r="BE28" s="5"/>
    </row>
    <row r="29" spans="1:57" x14ac:dyDescent="0.3">
      <c r="A29" s="7"/>
      <c r="B29" s="7"/>
      <c r="C29" s="8"/>
      <c r="D29" s="8" t="s">
        <v>124</v>
      </c>
      <c r="E29" s="7"/>
      <c r="F29" s="7"/>
      <c r="G29" s="8"/>
      <c r="H29" s="8"/>
      <c r="I29" s="7"/>
      <c r="J29" s="7"/>
      <c r="K29" s="8"/>
      <c r="L29" s="8"/>
      <c r="M29" s="7"/>
      <c r="N29" s="7"/>
      <c r="O29" s="8"/>
      <c r="P29" s="8"/>
      <c r="Q29" s="7">
        <f>SUM($Q$23:$Q$28)</f>
        <v>23000</v>
      </c>
      <c r="R29" s="7">
        <f>SUM($R$23:$R$28)</f>
        <v>23000</v>
      </c>
      <c r="S29" s="8">
        <f>SUM($S$23:$S$28)</f>
        <v>23</v>
      </c>
      <c r="T29" s="8">
        <f>SUM($T$23:$T$28)</f>
        <v>23000</v>
      </c>
      <c r="U29" s="7">
        <f>SUM($U$23:$U$28)</f>
        <v>23000</v>
      </c>
      <c r="V29" s="7">
        <f>SUM($V$23:$V$28)</f>
        <v>23</v>
      </c>
      <c r="W29" s="8">
        <f>SUM($W$23:$W$28)</f>
        <v>23000</v>
      </c>
      <c r="X29" s="8">
        <f>SUM($X$23:$X$28)</f>
        <v>23000</v>
      </c>
      <c r="Y29" s="7">
        <f>SUM($Y$23:$Y$28)</f>
        <v>23</v>
      </c>
      <c r="Z29" s="7">
        <f>SUM($Z$23:$Z$28)</f>
        <v>20000</v>
      </c>
      <c r="AA29" s="8">
        <f>SUM($AA$23:$AA$28)</f>
        <v>20000</v>
      </c>
      <c r="AB29" s="8">
        <f>SUM($AB$23:$AB$28)</f>
        <v>20</v>
      </c>
      <c r="AC29" s="7">
        <f>SUM($AC$23:$AC$28)</f>
        <v>20000</v>
      </c>
      <c r="AD29" s="7">
        <f>SUM($AD$23:$AD$28)</f>
        <v>20000</v>
      </c>
      <c r="AE29" s="8">
        <f>SUM($AE$23:$AE$28)</f>
        <v>20</v>
      </c>
      <c r="AF29" s="8">
        <f>SUM($AF$23:$AF$28)</f>
        <v>20000</v>
      </c>
      <c r="AG29" s="7">
        <f>SUM($AG$23:$AG$28)</f>
        <v>20000</v>
      </c>
      <c r="AH29" s="7">
        <f>SUM($AH$23:$AH$28)</f>
        <v>20</v>
      </c>
      <c r="AI29" s="8">
        <f>SUM($AI$23:$AI$28)</f>
        <v>20000</v>
      </c>
      <c r="AJ29" s="8">
        <f>SUM($AJ$23:$AJ$28)</f>
        <v>20000</v>
      </c>
      <c r="AK29" s="7">
        <f>SUM($AK$23:$AK$28)</f>
        <v>20</v>
      </c>
      <c r="AL29" s="7">
        <f>SUM($AL$23:$AL$28)</f>
        <v>20000</v>
      </c>
      <c r="AM29" s="8">
        <f>SUM($AM$23:$AM$28)</f>
        <v>20000</v>
      </c>
      <c r="AN29" s="8">
        <f>SUM($AN$23:$AN$28)</f>
        <v>20</v>
      </c>
      <c r="AO29" s="7">
        <f>SUM($AO$23:$AO$28)</f>
        <v>20000</v>
      </c>
      <c r="AP29" s="7">
        <f>SUM($AP$23:$AP$28)</f>
        <v>20000</v>
      </c>
      <c r="AQ29" s="8">
        <f>SUM($AQ$23:$AQ$28)</f>
        <v>20</v>
      </c>
      <c r="AR29" s="8">
        <f>SUM($AR$23:$AR$28)</f>
        <v>20000</v>
      </c>
      <c r="AS29" s="7">
        <f>SUM($AS$23:$AS$28)</f>
        <v>20000</v>
      </c>
      <c r="AT29" s="7">
        <f>SUM($AT$23:$AT$28)</f>
        <v>20</v>
      </c>
      <c r="AU29" s="8">
        <f>SUM($AU$23:$AU$28)</f>
        <v>20000</v>
      </c>
      <c r="AV29" s="8">
        <f>SUM($AV$23:$AV$28)</f>
        <v>20000</v>
      </c>
      <c r="AW29" s="7">
        <f>SUM($AW$23:$AW$28)</f>
        <v>20</v>
      </c>
      <c r="AX29" s="7">
        <f>SUM($AX$23:$AX$28)</f>
        <v>20000</v>
      </c>
      <c r="AY29" s="8">
        <f>SUM($AY$23:$AY$28)</f>
        <v>20000</v>
      </c>
      <c r="AZ29" s="8">
        <f>SUM($AZ$23:$AZ$28)</f>
        <v>20</v>
      </c>
      <c r="BA29" s="7">
        <f>SUM($BA$23:$BA$28)</f>
        <v>0</v>
      </c>
      <c r="BB29" s="7">
        <f>SUM($BB$23:$BB$28)</f>
        <v>249000</v>
      </c>
      <c r="BC29" s="8">
        <f>SUM($BC$23:$BC$28)</f>
        <v>249000</v>
      </c>
      <c r="BD29" s="8">
        <f>SUM($BD$23:$BD$28)</f>
        <v>20.8</v>
      </c>
    </row>
    <row r="30" spans="1:57" x14ac:dyDescent="0.3">
      <c r="A30" s="5"/>
      <c r="B30" s="5"/>
      <c r="C30" s="6"/>
      <c r="D30" s="6"/>
      <c r="E30" s="5"/>
      <c r="F30" s="5"/>
      <c r="G30" s="6"/>
      <c r="H30" s="6"/>
      <c r="I30" s="5"/>
      <c r="J30" s="5"/>
      <c r="K30" s="6"/>
      <c r="L30" s="6"/>
      <c r="M30" s="5"/>
      <c r="N30" s="5"/>
      <c r="O30" s="6"/>
      <c r="P30" s="6"/>
      <c r="Q30" s="5"/>
      <c r="R30" s="5"/>
      <c r="S30" s="6"/>
      <c r="T30" s="6"/>
      <c r="U30" s="5"/>
      <c r="V30" s="5"/>
      <c r="W30" s="6"/>
      <c r="X30" s="6"/>
      <c r="Y30" s="5"/>
      <c r="Z30" s="5"/>
      <c r="AA30" s="6"/>
      <c r="AB30" s="6"/>
      <c r="AC30" s="5"/>
      <c r="AD30" s="5"/>
      <c r="AE30" s="6"/>
      <c r="AF30" s="6"/>
      <c r="AG30" s="5"/>
      <c r="AH30" s="5"/>
      <c r="AI30" s="6"/>
      <c r="AJ30" s="6"/>
      <c r="AK30" s="5"/>
      <c r="AL30" s="5"/>
      <c r="AM30" s="6"/>
      <c r="AN30" s="6"/>
      <c r="AO30" s="5"/>
      <c r="AP30" s="5"/>
      <c r="AQ30" s="6"/>
      <c r="AR30" s="6"/>
      <c r="AS30" s="5"/>
      <c r="AT30" s="5"/>
      <c r="AU30" s="6"/>
      <c r="AV30" s="6"/>
      <c r="AW30" s="5"/>
      <c r="AX30" s="5"/>
      <c r="AY30" s="6"/>
      <c r="AZ30" s="6"/>
      <c r="BA30" s="5"/>
      <c r="BB30" s="5"/>
      <c r="BC30" s="6"/>
      <c r="BD30" s="6"/>
    </row>
    <row r="31" spans="1:57" x14ac:dyDescent="0.3">
      <c r="A31" s="7"/>
      <c r="B31" s="7" t="s">
        <v>70</v>
      </c>
      <c r="C31" s="8" t="s">
        <v>71</v>
      </c>
      <c r="D31" s="8" t="s">
        <v>57</v>
      </c>
      <c r="E31" s="7" t="s">
        <v>58</v>
      </c>
      <c r="F31" s="7" t="s">
        <v>125</v>
      </c>
      <c r="G31" s="8" t="s">
        <v>70</v>
      </c>
      <c r="H31" s="8">
        <v>36617001</v>
      </c>
      <c r="I31" s="7">
        <v>5841813202</v>
      </c>
      <c r="J31" s="7" t="s">
        <v>61</v>
      </c>
      <c r="K31" s="8" t="s">
        <v>126</v>
      </c>
      <c r="L31" s="8" t="s">
        <v>67</v>
      </c>
      <c r="M31" s="7" t="s">
        <v>76</v>
      </c>
      <c r="N31" s="7" t="s">
        <v>69</v>
      </c>
      <c r="O31" s="8"/>
      <c r="P31" s="8" t="s">
        <v>70</v>
      </c>
      <c r="Q31" s="7">
        <v>6000</v>
      </c>
      <c r="R31" s="7">
        <v>6000</v>
      </c>
      <c r="S31" s="8">
        <v>6</v>
      </c>
      <c r="T31" s="8">
        <v>6000</v>
      </c>
      <c r="U31" s="7">
        <v>6000</v>
      </c>
      <c r="V31" s="7">
        <v>6</v>
      </c>
      <c r="W31" s="8">
        <v>6000</v>
      </c>
      <c r="X31" s="8">
        <v>6000</v>
      </c>
      <c r="Y31" s="7">
        <v>6</v>
      </c>
      <c r="Z31" s="7">
        <v>6000</v>
      </c>
      <c r="AA31" s="8">
        <v>6000</v>
      </c>
      <c r="AB31" s="8">
        <v>6</v>
      </c>
      <c r="AC31" s="7">
        <v>6000</v>
      </c>
      <c r="AD31" s="7">
        <v>6000</v>
      </c>
      <c r="AE31" s="8">
        <v>6</v>
      </c>
      <c r="AF31" s="8">
        <v>6000</v>
      </c>
      <c r="AG31" s="7">
        <v>6000</v>
      </c>
      <c r="AH31" s="7">
        <v>6</v>
      </c>
      <c r="AI31" s="8">
        <v>6000</v>
      </c>
      <c r="AJ31" s="8">
        <v>6000</v>
      </c>
      <c r="AK31" s="7">
        <v>6</v>
      </c>
      <c r="AL31" s="7">
        <v>6000</v>
      </c>
      <c r="AM31" s="8">
        <v>6000</v>
      </c>
      <c r="AN31" s="8">
        <v>6</v>
      </c>
      <c r="AO31" s="7">
        <v>6000</v>
      </c>
      <c r="AP31" s="7">
        <v>6000</v>
      </c>
      <c r="AQ31" s="8">
        <v>6</v>
      </c>
      <c r="AR31" s="8">
        <v>6000</v>
      </c>
      <c r="AS31" s="7">
        <v>6000</v>
      </c>
      <c r="AT31" s="7">
        <v>6</v>
      </c>
      <c r="AU31" s="8">
        <v>6000</v>
      </c>
      <c r="AV31" s="8">
        <v>6000</v>
      </c>
      <c r="AW31" s="7">
        <v>6</v>
      </c>
      <c r="AX31" s="7">
        <v>6000</v>
      </c>
      <c r="AY31" s="8">
        <v>6000</v>
      </c>
      <c r="AZ31" s="8">
        <v>6</v>
      </c>
      <c r="BA31" s="7">
        <v>0</v>
      </c>
      <c r="BB31" s="7">
        <v>72000</v>
      </c>
      <c r="BC31" s="8">
        <v>72000</v>
      </c>
      <c r="BD31" s="8">
        <v>6</v>
      </c>
      <c r="BE31" s="7"/>
    </row>
    <row r="32" spans="1:57" x14ac:dyDescent="0.3">
      <c r="A32" s="5"/>
      <c r="B32" s="5" t="s">
        <v>70</v>
      </c>
      <c r="C32" s="6" t="s">
        <v>71</v>
      </c>
      <c r="D32" s="6" t="s">
        <v>57</v>
      </c>
      <c r="E32" s="5" t="s">
        <v>95</v>
      </c>
      <c r="F32" s="5" t="s">
        <v>127</v>
      </c>
      <c r="G32" s="6"/>
      <c r="H32" s="6" t="s">
        <v>128</v>
      </c>
      <c r="I32" s="5">
        <v>5841813202</v>
      </c>
      <c r="J32" s="5" t="s">
        <v>61</v>
      </c>
      <c r="K32" s="6" t="s">
        <v>128</v>
      </c>
      <c r="L32" s="6" t="s">
        <v>113</v>
      </c>
      <c r="M32" s="5" t="s">
        <v>68</v>
      </c>
      <c r="N32" s="5" t="s">
        <v>120</v>
      </c>
      <c r="O32" s="6"/>
      <c r="P32" s="6" t="s">
        <v>70</v>
      </c>
      <c r="Q32" s="5">
        <v>3000</v>
      </c>
      <c r="R32" s="5">
        <v>3000</v>
      </c>
      <c r="S32" s="6">
        <v>3</v>
      </c>
      <c r="T32" s="6">
        <v>3000</v>
      </c>
      <c r="U32" s="5">
        <v>3000</v>
      </c>
      <c r="V32" s="5">
        <v>3</v>
      </c>
      <c r="W32" s="6">
        <v>3000</v>
      </c>
      <c r="X32" s="6">
        <v>3000</v>
      </c>
      <c r="Y32" s="5">
        <v>3</v>
      </c>
      <c r="Z32" s="5">
        <v>3000</v>
      </c>
      <c r="AA32" s="6">
        <v>3000</v>
      </c>
      <c r="AB32" s="6">
        <v>3</v>
      </c>
      <c r="AC32" s="5">
        <v>3000</v>
      </c>
      <c r="AD32" s="5">
        <v>3000</v>
      </c>
      <c r="AE32" s="6">
        <v>3</v>
      </c>
      <c r="AF32" s="6">
        <v>3000</v>
      </c>
      <c r="AG32" s="5">
        <v>3000</v>
      </c>
      <c r="AH32" s="5">
        <v>3</v>
      </c>
      <c r="AI32" s="6">
        <v>3000</v>
      </c>
      <c r="AJ32" s="6">
        <v>3000</v>
      </c>
      <c r="AK32" s="5">
        <v>3</v>
      </c>
      <c r="AL32" s="5">
        <v>3000</v>
      </c>
      <c r="AM32" s="6">
        <v>3000</v>
      </c>
      <c r="AN32" s="6">
        <v>3</v>
      </c>
      <c r="AO32" s="5">
        <v>3000</v>
      </c>
      <c r="AP32" s="5">
        <v>3000</v>
      </c>
      <c r="AQ32" s="6">
        <v>3</v>
      </c>
      <c r="AR32" s="6">
        <v>3000</v>
      </c>
      <c r="AS32" s="5">
        <v>3000</v>
      </c>
      <c r="AT32" s="5">
        <v>3</v>
      </c>
      <c r="AU32" s="6">
        <v>3000</v>
      </c>
      <c r="AV32" s="6">
        <v>3000</v>
      </c>
      <c r="AW32" s="5">
        <v>3</v>
      </c>
      <c r="AX32" s="5">
        <v>3000</v>
      </c>
      <c r="AY32" s="6">
        <v>3000</v>
      </c>
      <c r="AZ32" s="6">
        <v>3</v>
      </c>
      <c r="BA32" s="5">
        <v>0</v>
      </c>
      <c r="BB32" s="5">
        <v>36000</v>
      </c>
      <c r="BC32" s="6">
        <v>36000</v>
      </c>
      <c r="BD32" s="6">
        <v>3</v>
      </c>
      <c r="BE32" s="7"/>
    </row>
    <row r="33" spans="1:57" x14ac:dyDescent="0.3">
      <c r="A33" s="7"/>
      <c r="B33" s="7" t="s">
        <v>70</v>
      </c>
      <c r="C33" s="8" t="s">
        <v>71</v>
      </c>
      <c r="D33" s="8" t="s">
        <v>57</v>
      </c>
      <c r="E33" s="7" t="s">
        <v>107</v>
      </c>
      <c r="F33" s="7" t="s">
        <v>108</v>
      </c>
      <c r="G33" s="8"/>
      <c r="H33" s="8">
        <v>365477</v>
      </c>
      <c r="I33" s="7">
        <v>5841813202</v>
      </c>
      <c r="J33" s="7" t="s">
        <v>61</v>
      </c>
      <c r="K33" s="8" t="s">
        <v>109</v>
      </c>
      <c r="L33" s="8" t="s">
        <v>67</v>
      </c>
      <c r="M33" s="7" t="s">
        <v>68</v>
      </c>
      <c r="N33" s="7" t="s">
        <v>69</v>
      </c>
      <c r="O33" s="8"/>
      <c r="P33" s="8" t="s">
        <v>70</v>
      </c>
      <c r="Q33" s="7">
        <v>5000</v>
      </c>
      <c r="R33" s="7">
        <v>5000</v>
      </c>
      <c r="S33" s="8">
        <v>5</v>
      </c>
      <c r="T33" s="8">
        <v>5000</v>
      </c>
      <c r="U33" s="7">
        <v>5000</v>
      </c>
      <c r="V33" s="7">
        <v>5</v>
      </c>
      <c r="W33" s="8">
        <v>5000</v>
      </c>
      <c r="X33" s="8">
        <v>5000</v>
      </c>
      <c r="Y33" s="7">
        <v>5</v>
      </c>
      <c r="Z33" s="7">
        <v>5000</v>
      </c>
      <c r="AA33" s="8">
        <v>5000</v>
      </c>
      <c r="AB33" s="8">
        <v>5</v>
      </c>
      <c r="AC33" s="7">
        <v>5000</v>
      </c>
      <c r="AD33" s="7">
        <v>5000</v>
      </c>
      <c r="AE33" s="8">
        <v>5</v>
      </c>
      <c r="AF33" s="8">
        <v>5000</v>
      </c>
      <c r="AG33" s="7">
        <v>5000</v>
      </c>
      <c r="AH33" s="7">
        <v>5</v>
      </c>
      <c r="AI33" s="8">
        <v>5000</v>
      </c>
      <c r="AJ33" s="8">
        <v>5000</v>
      </c>
      <c r="AK33" s="7">
        <v>5</v>
      </c>
      <c r="AL33" s="7">
        <v>5000</v>
      </c>
      <c r="AM33" s="8">
        <v>5000</v>
      </c>
      <c r="AN33" s="8">
        <v>5</v>
      </c>
      <c r="AO33" s="7">
        <v>5000</v>
      </c>
      <c r="AP33" s="7">
        <v>5000</v>
      </c>
      <c r="AQ33" s="8">
        <v>5</v>
      </c>
      <c r="AR33" s="8">
        <v>5000</v>
      </c>
      <c r="AS33" s="7">
        <v>5000</v>
      </c>
      <c r="AT33" s="7">
        <v>5</v>
      </c>
      <c r="AU33" s="8">
        <v>5000</v>
      </c>
      <c r="AV33" s="8">
        <v>5000</v>
      </c>
      <c r="AW33" s="7">
        <v>5</v>
      </c>
      <c r="AX33" s="7">
        <v>5000</v>
      </c>
      <c r="AY33" s="8">
        <v>5000</v>
      </c>
      <c r="AZ33" s="8">
        <v>5</v>
      </c>
      <c r="BA33" s="7">
        <v>0</v>
      </c>
      <c r="BB33" s="7">
        <v>60000</v>
      </c>
      <c r="BC33" s="8">
        <v>60000</v>
      </c>
      <c r="BD33" s="8">
        <v>5</v>
      </c>
      <c r="BE33" s="7"/>
    </row>
    <row r="34" spans="1:57" x14ac:dyDescent="0.3">
      <c r="A34" s="5"/>
      <c r="B34" s="5" t="s">
        <v>70</v>
      </c>
      <c r="C34" s="6" t="s">
        <v>2</v>
      </c>
      <c r="D34" s="6" t="s">
        <v>57</v>
      </c>
      <c r="E34" s="5" t="s">
        <v>110</v>
      </c>
      <c r="F34" s="5" t="s">
        <v>111</v>
      </c>
      <c r="G34" s="6"/>
      <c r="H34" s="6" t="s">
        <v>112</v>
      </c>
      <c r="I34" s="5">
        <v>5841813202</v>
      </c>
      <c r="J34" s="5" t="s">
        <v>61</v>
      </c>
      <c r="K34" s="6" t="s">
        <v>112</v>
      </c>
      <c r="L34" s="6" t="s">
        <v>113</v>
      </c>
      <c r="M34" s="5" t="s">
        <v>68</v>
      </c>
      <c r="N34" s="5" t="s">
        <v>69</v>
      </c>
      <c r="O34" s="6"/>
      <c r="P34" s="6" t="s">
        <v>70</v>
      </c>
      <c r="Q34" s="5">
        <v>4000</v>
      </c>
      <c r="R34" s="5">
        <v>4000</v>
      </c>
      <c r="S34" s="6">
        <v>4</v>
      </c>
      <c r="T34" s="6">
        <v>4000</v>
      </c>
      <c r="U34" s="5">
        <v>4000</v>
      </c>
      <c r="V34" s="5">
        <v>4</v>
      </c>
      <c r="W34" s="6">
        <v>4000</v>
      </c>
      <c r="X34" s="6">
        <v>4000</v>
      </c>
      <c r="Y34" s="5">
        <v>4</v>
      </c>
      <c r="Z34" s="5">
        <v>4000</v>
      </c>
      <c r="AA34" s="6">
        <v>4000</v>
      </c>
      <c r="AB34" s="6">
        <v>4</v>
      </c>
      <c r="AC34" s="5">
        <v>4000</v>
      </c>
      <c r="AD34" s="5">
        <v>4000</v>
      </c>
      <c r="AE34" s="6">
        <v>4</v>
      </c>
      <c r="AF34" s="6">
        <v>4000</v>
      </c>
      <c r="AG34" s="5">
        <v>4000</v>
      </c>
      <c r="AH34" s="5">
        <v>4</v>
      </c>
      <c r="AI34" s="6">
        <v>4000</v>
      </c>
      <c r="AJ34" s="6">
        <v>4000</v>
      </c>
      <c r="AK34" s="5">
        <v>4</v>
      </c>
      <c r="AL34" s="5">
        <v>4000</v>
      </c>
      <c r="AM34" s="6">
        <v>4000</v>
      </c>
      <c r="AN34" s="6">
        <v>4</v>
      </c>
      <c r="AO34" s="5">
        <v>4000</v>
      </c>
      <c r="AP34" s="5">
        <v>4000</v>
      </c>
      <c r="AQ34" s="6">
        <v>4</v>
      </c>
      <c r="AR34" s="6">
        <v>4000</v>
      </c>
      <c r="AS34" s="5">
        <v>4000</v>
      </c>
      <c r="AT34" s="5">
        <v>4</v>
      </c>
      <c r="AU34" s="6">
        <v>4000</v>
      </c>
      <c r="AV34" s="6">
        <v>4000</v>
      </c>
      <c r="AW34" s="5">
        <v>4</v>
      </c>
      <c r="AX34" s="5">
        <v>4000</v>
      </c>
      <c r="AY34" s="6">
        <v>4000</v>
      </c>
      <c r="AZ34" s="6">
        <v>4</v>
      </c>
      <c r="BA34" s="5">
        <v>0</v>
      </c>
      <c r="BB34" s="5">
        <v>48000</v>
      </c>
      <c r="BC34" s="6">
        <v>48000</v>
      </c>
      <c r="BD34" s="6">
        <v>4</v>
      </c>
      <c r="BE34" s="5"/>
    </row>
    <row r="35" spans="1:57" x14ac:dyDescent="0.3">
      <c r="A35" s="7"/>
      <c r="B35" s="7" t="s">
        <v>70</v>
      </c>
      <c r="C35" s="8" t="s">
        <v>71</v>
      </c>
      <c r="D35" s="8" t="s">
        <v>57</v>
      </c>
      <c r="E35" s="7" t="s">
        <v>95</v>
      </c>
      <c r="F35" s="7" t="s">
        <v>105</v>
      </c>
      <c r="G35" s="8"/>
      <c r="H35" s="8">
        <v>129855</v>
      </c>
      <c r="I35" s="7">
        <v>5841813202</v>
      </c>
      <c r="J35" s="7" t="s">
        <v>61</v>
      </c>
      <c r="K35" s="8" t="s">
        <v>106</v>
      </c>
      <c r="L35" s="8" t="s">
        <v>67</v>
      </c>
      <c r="M35" s="7" t="s">
        <v>68</v>
      </c>
      <c r="N35" s="7" t="s">
        <v>69</v>
      </c>
      <c r="O35" s="8"/>
      <c r="P35" s="8" t="s">
        <v>70</v>
      </c>
      <c r="Q35" s="7">
        <v>3000</v>
      </c>
      <c r="R35" s="7">
        <v>3000</v>
      </c>
      <c r="S35" s="8">
        <v>3</v>
      </c>
      <c r="T35" s="8">
        <v>3000</v>
      </c>
      <c r="U35" s="7">
        <v>3000</v>
      </c>
      <c r="V35" s="7">
        <v>3</v>
      </c>
      <c r="W35" s="8">
        <v>3000</v>
      </c>
      <c r="X35" s="8">
        <v>3000</v>
      </c>
      <c r="Y35" s="7">
        <v>3</v>
      </c>
      <c r="Z35" s="7">
        <v>3000</v>
      </c>
      <c r="AA35" s="8">
        <v>3000</v>
      </c>
      <c r="AB35" s="8">
        <v>3</v>
      </c>
      <c r="AC35" s="7">
        <v>3000</v>
      </c>
      <c r="AD35" s="7">
        <v>3000</v>
      </c>
      <c r="AE35" s="8">
        <v>3</v>
      </c>
      <c r="AF35" s="8">
        <v>3000</v>
      </c>
      <c r="AG35" s="7">
        <v>3000</v>
      </c>
      <c r="AH35" s="7">
        <v>3</v>
      </c>
      <c r="AI35" s="8">
        <v>3000</v>
      </c>
      <c r="AJ35" s="8">
        <v>3000</v>
      </c>
      <c r="AK35" s="7">
        <v>3</v>
      </c>
      <c r="AL35" s="7">
        <v>3000</v>
      </c>
      <c r="AM35" s="8">
        <v>3000</v>
      </c>
      <c r="AN35" s="8">
        <v>3</v>
      </c>
      <c r="AO35" s="7">
        <v>3000</v>
      </c>
      <c r="AP35" s="7">
        <v>3000</v>
      </c>
      <c r="AQ35" s="8">
        <v>3</v>
      </c>
      <c r="AR35" s="8">
        <v>3000</v>
      </c>
      <c r="AS35" s="7">
        <v>3000</v>
      </c>
      <c r="AT35" s="7">
        <v>3</v>
      </c>
      <c r="AU35" s="8">
        <v>3000</v>
      </c>
      <c r="AV35" s="8">
        <v>3000</v>
      </c>
      <c r="AW35" s="7">
        <v>3</v>
      </c>
      <c r="AX35" s="7">
        <v>3000</v>
      </c>
      <c r="AY35" s="8">
        <v>3000</v>
      </c>
      <c r="AZ35" s="8">
        <v>3</v>
      </c>
      <c r="BA35" s="7">
        <v>0</v>
      </c>
      <c r="BB35" s="7">
        <v>36000</v>
      </c>
      <c r="BC35" s="8">
        <v>36000</v>
      </c>
      <c r="BD35" s="8">
        <v>3</v>
      </c>
      <c r="BE35" s="7"/>
    </row>
    <row r="36" spans="1:57" x14ac:dyDescent="0.3">
      <c r="A36" s="5"/>
      <c r="B36" s="5"/>
      <c r="C36" s="6"/>
      <c r="D36" s="6" t="s">
        <v>129</v>
      </c>
      <c r="E36" s="5"/>
      <c r="F36" s="5"/>
      <c r="G36" s="6"/>
      <c r="H36" s="6"/>
      <c r="I36" s="5"/>
      <c r="J36" s="5"/>
      <c r="K36" s="6"/>
      <c r="L36" s="6"/>
      <c r="M36" s="5"/>
      <c r="N36" s="5"/>
      <c r="O36" s="6"/>
      <c r="P36" s="6"/>
      <c r="Q36" s="5">
        <f>SUM($Q$31:$Q$35)</f>
        <v>21000</v>
      </c>
      <c r="R36" s="5">
        <f>SUM($R$31:$R$35)</f>
        <v>21000</v>
      </c>
      <c r="S36" s="6">
        <f>SUM($S$31:$S$35)</f>
        <v>21</v>
      </c>
      <c r="T36" s="6">
        <f>SUM($T$31:$T$35)</f>
        <v>21000</v>
      </c>
      <c r="U36" s="5">
        <f>SUM($U$31:$U$35)</f>
        <v>21000</v>
      </c>
      <c r="V36" s="5">
        <f>SUM($V$31:$V$35)</f>
        <v>21</v>
      </c>
      <c r="W36" s="6">
        <f>SUM($W$31:$W$35)</f>
        <v>21000</v>
      </c>
      <c r="X36" s="6">
        <f>SUM($X$31:$X$35)</f>
        <v>21000</v>
      </c>
      <c r="Y36" s="5">
        <f>SUM($Y$31:$Y$35)</f>
        <v>21</v>
      </c>
      <c r="Z36" s="5">
        <f>SUM($Z$31:$Z$35)</f>
        <v>21000</v>
      </c>
      <c r="AA36" s="6">
        <f>SUM($AA$31:$AA$35)</f>
        <v>21000</v>
      </c>
      <c r="AB36" s="6">
        <f>SUM($AB$31:$AB$35)</f>
        <v>21</v>
      </c>
      <c r="AC36" s="5">
        <f>SUM($AC$31:$AC$35)</f>
        <v>21000</v>
      </c>
      <c r="AD36" s="5">
        <f>SUM($AD$31:$AD$35)</f>
        <v>21000</v>
      </c>
      <c r="AE36" s="6">
        <f>SUM($AE$31:$AE$35)</f>
        <v>21</v>
      </c>
      <c r="AF36" s="6">
        <f>SUM($AF$31:$AF$35)</f>
        <v>21000</v>
      </c>
      <c r="AG36" s="5">
        <f>SUM($AG$31:$AG$35)</f>
        <v>21000</v>
      </c>
      <c r="AH36" s="5">
        <f>SUM($AH$31:$AH$35)</f>
        <v>21</v>
      </c>
      <c r="AI36" s="6">
        <f>SUM($AI$31:$AI$35)</f>
        <v>21000</v>
      </c>
      <c r="AJ36" s="6">
        <f>SUM($AJ$31:$AJ$35)</f>
        <v>21000</v>
      </c>
      <c r="AK36" s="5">
        <f>SUM($AK$31:$AK$35)</f>
        <v>21</v>
      </c>
      <c r="AL36" s="5">
        <f>SUM($AL$31:$AL$35)</f>
        <v>21000</v>
      </c>
      <c r="AM36" s="6">
        <f>SUM($AM$31:$AM$35)</f>
        <v>21000</v>
      </c>
      <c r="AN36" s="6">
        <f>SUM($AN$31:$AN$35)</f>
        <v>21</v>
      </c>
      <c r="AO36" s="5">
        <f>SUM($AO$31:$AO$35)</f>
        <v>21000</v>
      </c>
      <c r="AP36" s="5">
        <f>SUM($AP$31:$AP$35)</f>
        <v>21000</v>
      </c>
      <c r="AQ36" s="6">
        <f>SUM($AQ$31:$AQ$35)</f>
        <v>21</v>
      </c>
      <c r="AR36" s="6">
        <f>SUM($AR$31:$AR$35)</f>
        <v>21000</v>
      </c>
      <c r="AS36" s="5">
        <f>SUM($AS$31:$AS$35)</f>
        <v>21000</v>
      </c>
      <c r="AT36" s="5">
        <f>SUM($AT$31:$AT$35)</f>
        <v>21</v>
      </c>
      <c r="AU36" s="6">
        <f>SUM($AU$31:$AU$35)</f>
        <v>21000</v>
      </c>
      <c r="AV36" s="6">
        <f>SUM($AV$31:$AV$35)</f>
        <v>21000</v>
      </c>
      <c r="AW36" s="5">
        <f>SUM($AW$31:$AW$35)</f>
        <v>21</v>
      </c>
      <c r="AX36" s="5">
        <f>SUM($AX$31:$AX$35)</f>
        <v>21000</v>
      </c>
      <c r="AY36" s="6">
        <f>SUM($AY$31:$AY$35)</f>
        <v>21000</v>
      </c>
      <c r="AZ36" s="6">
        <f>SUM($AZ$31:$AZ$35)</f>
        <v>21</v>
      </c>
      <c r="BA36" s="5">
        <f>SUM($BA$31:$BA$35)</f>
        <v>0</v>
      </c>
      <c r="BB36" s="5">
        <f>SUM($BB$31:$BB$35)</f>
        <v>252000</v>
      </c>
      <c r="BC36" s="6">
        <f>SUM($BC$31:$BC$35)</f>
        <v>252000</v>
      </c>
      <c r="BD36" s="6">
        <f>SUM($BD$31:$BD$35)</f>
        <v>21</v>
      </c>
    </row>
  </sheetData>
  <mergeCells count="2">
    <mergeCell ref="A1:B1"/>
    <mergeCell ref="C1:B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CostCenterGroupBySumResult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kailing shen</dc:creator>
  <cp:lastModifiedBy>kailing shen</cp:lastModifiedBy>
  <dcterms:created xsi:type="dcterms:W3CDTF">2026-05-19T06:03:06Z</dcterms:created>
  <dcterms:modified xsi:type="dcterms:W3CDTF">2026-05-19T06:03:06Z</dcterms:modified>
</cp:coreProperties>
</file>
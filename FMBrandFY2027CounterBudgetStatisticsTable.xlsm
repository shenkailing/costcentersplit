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fdbe1b69e49a4ecb/EXCELVBA/VBACostCenterSplit/costcentersplit/"/>
    </mc:Choice>
  </mc:AlternateContent>
  <xr:revisionPtr revIDLastSave="1339" documentId="13_ncr:1_{88D9ADAF-A585-48ED-AAE6-34C30FE24B30}" xr6:coauthVersionLast="47" xr6:coauthVersionMax="47" xr10:uidLastSave="{9FB08299-FD5E-4E08-9823-3ED997F79371}"/>
  <bookViews>
    <workbookView xWindow="-110" yWindow="-110" windowWidth="25820" windowHeight="15620" activeTab="1" xr2:uid="{E52E6129-61D8-4663-8B9B-329C02BF26BC}"/>
  </bookViews>
  <sheets>
    <sheet name="BGT(系统导出)" sheetId="1" r:id="rId1"/>
    <sheet name="CostCenterGroupBySumResult" sheetId="27" r:id="rId2"/>
    <sheet name="BGT(手动修改)" sheetId="2" r:id="rId3"/>
    <sheet name="提供的原始表" sheetId="3" r:id="rId4"/>
    <sheet name="返回的报表" sheetId="4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B36" i="27" l="1"/>
  <c r="BA36" i="27"/>
  <c r="AZ36" i="27"/>
  <c r="AY36" i="27"/>
  <c r="AX36" i="27"/>
  <c r="AW36" i="27"/>
  <c r="AV36" i="27"/>
  <c r="AU36" i="27"/>
  <c r="AT36" i="27"/>
  <c r="AS36" i="27"/>
  <c r="AR36" i="27"/>
  <c r="AQ36" i="27"/>
  <c r="AP36" i="27"/>
  <c r="AO36" i="27"/>
  <c r="AN36" i="27"/>
  <c r="AM36" i="27"/>
  <c r="AL36" i="27"/>
  <c r="AK36" i="27"/>
  <c r="AJ36" i="27"/>
  <c r="AI36" i="27"/>
  <c r="AH36" i="27"/>
  <c r="AG36" i="27"/>
  <c r="AF36" i="27"/>
  <c r="AE36" i="27"/>
  <c r="AD36" i="27"/>
  <c r="AC36" i="27"/>
  <c r="AB36" i="27"/>
  <c r="AA36" i="27"/>
  <c r="Z36" i="27"/>
  <c r="Y36" i="27"/>
  <c r="X36" i="27"/>
  <c r="W36" i="27"/>
  <c r="V36" i="27"/>
  <c r="U36" i="27"/>
  <c r="T36" i="27"/>
  <c r="S36" i="27"/>
  <c r="R36" i="27"/>
  <c r="Q36" i="27"/>
  <c r="P36" i="27"/>
  <c r="O36" i="27"/>
  <c r="BB29" i="27"/>
  <c r="BA29" i="27"/>
  <c r="AZ29" i="27"/>
  <c r="AY29" i="27"/>
  <c r="AX29" i="27"/>
  <c r="AW29" i="27"/>
  <c r="AV29" i="27"/>
  <c r="AU29" i="27"/>
  <c r="AT29" i="27"/>
  <c r="AS29" i="27"/>
  <c r="AR29" i="27"/>
  <c r="AQ29" i="27"/>
  <c r="AP29" i="27"/>
  <c r="AO29" i="27"/>
  <c r="AN29" i="27"/>
  <c r="AM29" i="27"/>
  <c r="AL29" i="27"/>
  <c r="AK29" i="27"/>
  <c r="AJ29" i="27"/>
  <c r="AI29" i="27"/>
  <c r="AH29" i="27"/>
  <c r="AG29" i="27"/>
  <c r="AF29" i="27"/>
  <c r="AE29" i="27"/>
  <c r="AD29" i="27"/>
  <c r="AC29" i="27"/>
  <c r="AB29" i="27"/>
  <c r="AA29" i="27"/>
  <c r="Z29" i="27"/>
  <c r="Y29" i="27"/>
  <c r="X29" i="27"/>
  <c r="W29" i="27"/>
  <c r="V29" i="27"/>
  <c r="U29" i="27"/>
  <c r="T29" i="27"/>
  <c r="S29" i="27"/>
  <c r="R29" i="27"/>
  <c r="Q29" i="27"/>
  <c r="P29" i="27"/>
  <c r="O29" i="27"/>
  <c r="BB21" i="27"/>
  <c r="BA21" i="27"/>
  <c r="AZ21" i="27"/>
  <c r="AY21" i="27"/>
  <c r="AX21" i="27"/>
  <c r="AW21" i="27"/>
  <c r="AV21" i="27"/>
  <c r="AU21" i="27"/>
  <c r="AT21" i="27"/>
  <c r="AS21" i="27"/>
  <c r="AR21" i="27"/>
  <c r="AQ21" i="27"/>
  <c r="AP21" i="27"/>
  <c r="AO21" i="27"/>
  <c r="AN21" i="27"/>
  <c r="AM21" i="27"/>
  <c r="AL21" i="27"/>
  <c r="AK21" i="27"/>
  <c r="AJ21" i="27"/>
  <c r="AI21" i="27"/>
  <c r="AH21" i="27"/>
  <c r="AG21" i="27"/>
  <c r="AF21" i="27"/>
  <c r="AE21" i="27"/>
  <c r="AD21" i="27"/>
  <c r="AC21" i="27"/>
  <c r="AB21" i="27"/>
  <c r="AA21" i="27"/>
  <c r="Z21" i="27"/>
  <c r="Y21" i="27"/>
  <c r="X21" i="27"/>
  <c r="W21" i="27"/>
  <c r="V21" i="27"/>
  <c r="U21" i="27"/>
  <c r="T21" i="27"/>
  <c r="S21" i="27"/>
  <c r="R21" i="27"/>
  <c r="Q21" i="27"/>
  <c r="P21" i="27"/>
  <c r="O21" i="27"/>
  <c r="AY32" i="1"/>
  <c r="AX32" i="1"/>
  <c r="AV32" i="1"/>
  <c r="AU32" i="1"/>
  <c r="AS32" i="1"/>
  <c r="AR32" i="1"/>
  <c r="AP32" i="1"/>
  <c r="AO32" i="1"/>
  <c r="AM32" i="1"/>
  <c r="AL32" i="1"/>
  <c r="AJ32" i="1"/>
  <c r="AI32" i="1"/>
  <c r="AG32" i="1"/>
  <c r="AF32" i="1"/>
  <c r="AD32" i="1"/>
  <c r="AC32" i="1"/>
  <c r="AA32" i="1"/>
  <c r="Z32" i="1"/>
  <c r="X32" i="1"/>
  <c r="W32" i="1"/>
  <c r="U32" i="1"/>
  <c r="T32" i="1"/>
  <c r="R32" i="1"/>
  <c r="Q32" i="1"/>
  <c r="AY31" i="1"/>
  <c r="AX31" i="1"/>
  <c r="AV31" i="1"/>
  <c r="AU31" i="1"/>
  <c r="AS31" i="1"/>
  <c r="AR31" i="1"/>
  <c r="AP31" i="1"/>
  <c r="AO31" i="1"/>
  <c r="AM31" i="1"/>
  <c r="AL31" i="1"/>
  <c r="AJ31" i="1"/>
  <c r="AI31" i="1"/>
  <c r="AG31" i="1"/>
  <c r="AF31" i="1"/>
  <c r="AD31" i="1"/>
  <c r="AC31" i="1"/>
  <c r="AA31" i="1"/>
  <c r="Z31" i="1"/>
  <c r="X31" i="1"/>
  <c r="W31" i="1"/>
  <c r="U31" i="1"/>
  <c r="T31" i="1"/>
  <c r="R31" i="1"/>
  <c r="Q31" i="1"/>
  <c r="AY30" i="1"/>
  <c r="AX30" i="1"/>
  <c r="AV30" i="1"/>
  <c r="AU30" i="1"/>
  <c r="AS30" i="1"/>
  <c r="AR30" i="1"/>
  <c r="AP30" i="1"/>
  <c r="AO30" i="1"/>
  <c r="AM30" i="1"/>
  <c r="AL30" i="1"/>
  <c r="AJ30" i="1"/>
  <c r="AI30" i="1"/>
  <c r="AG30" i="1"/>
  <c r="AF30" i="1"/>
  <c r="AD30" i="1"/>
  <c r="AC30" i="1"/>
  <c r="AA30" i="1"/>
  <c r="Z30" i="1"/>
  <c r="X30" i="1"/>
  <c r="W30" i="1"/>
  <c r="U30" i="1"/>
  <c r="T30" i="1"/>
  <c r="R30" i="1"/>
  <c r="Q30" i="1"/>
  <c r="AY29" i="1"/>
  <c r="AX29" i="1"/>
  <c r="AV29" i="1"/>
  <c r="AU29" i="1"/>
  <c r="AS29" i="1"/>
  <c r="AR29" i="1"/>
  <c r="AP29" i="1"/>
  <c r="AO29" i="1"/>
  <c r="AM29" i="1"/>
  <c r="AL29" i="1"/>
  <c r="AJ29" i="1"/>
  <c r="AI29" i="1"/>
  <c r="AG29" i="1"/>
  <c r="AF29" i="1"/>
  <c r="AD29" i="1"/>
  <c r="AC29" i="1"/>
  <c r="AA29" i="1"/>
  <c r="Z29" i="1"/>
  <c r="X29" i="1"/>
  <c r="W29" i="1"/>
  <c r="U29" i="1"/>
  <c r="T29" i="1"/>
  <c r="R29" i="1"/>
  <c r="Q29" i="1"/>
  <c r="AY28" i="1"/>
  <c r="AX28" i="1"/>
  <c r="AV28" i="1"/>
  <c r="AU28" i="1"/>
  <c r="AS28" i="1"/>
  <c r="AR28" i="1"/>
  <c r="AP28" i="1"/>
  <c r="AO28" i="1"/>
  <c r="AM28" i="1"/>
  <c r="AL28" i="1"/>
  <c r="AJ28" i="1"/>
  <c r="AI28" i="1"/>
  <c r="AG28" i="1"/>
  <c r="AF28" i="1"/>
  <c r="AD28" i="1"/>
  <c r="AC28" i="1"/>
  <c r="AA28" i="1"/>
  <c r="Z28" i="1"/>
  <c r="X28" i="1"/>
  <c r="W28" i="1"/>
  <c r="U28" i="1"/>
  <c r="T28" i="1"/>
  <c r="R28" i="1"/>
  <c r="Q28" i="1"/>
  <c r="AY27" i="1"/>
  <c r="AX27" i="1"/>
  <c r="AV27" i="1"/>
  <c r="AU27" i="1"/>
  <c r="AS27" i="1"/>
  <c r="AR27" i="1"/>
  <c r="AP27" i="1"/>
  <c r="AO27" i="1"/>
  <c r="AM27" i="1"/>
  <c r="AL27" i="1"/>
  <c r="AJ27" i="1"/>
  <c r="AI27" i="1"/>
  <c r="AG27" i="1"/>
  <c r="AF27" i="1"/>
  <c r="AD27" i="1"/>
  <c r="AC27" i="1"/>
  <c r="AA27" i="1"/>
  <c r="Z27" i="1"/>
  <c r="X27" i="1"/>
  <c r="W27" i="1"/>
  <c r="U27" i="1"/>
  <c r="T27" i="1"/>
  <c r="R27" i="1"/>
  <c r="Q27" i="1"/>
  <c r="AY26" i="1"/>
  <c r="AX26" i="1"/>
  <c r="AV26" i="1"/>
  <c r="AU26" i="1"/>
  <c r="AS26" i="1"/>
  <c r="AR26" i="1"/>
  <c r="AP26" i="1"/>
  <c r="AO26" i="1"/>
  <c r="AM26" i="1"/>
  <c r="AL26" i="1"/>
  <c r="AJ26" i="1"/>
  <c r="AI26" i="1"/>
  <c r="AG26" i="1"/>
  <c r="AF26" i="1"/>
  <c r="AD26" i="1"/>
  <c r="AC26" i="1"/>
  <c r="AA26" i="1"/>
  <c r="Z26" i="1"/>
  <c r="X26" i="1"/>
  <c r="W26" i="1"/>
  <c r="U26" i="1"/>
  <c r="T26" i="1"/>
  <c r="R26" i="1"/>
  <c r="Q26" i="1"/>
  <c r="AW28" i="4"/>
  <c r="AV28" i="4"/>
  <c r="AT28" i="4"/>
  <c r="AS28" i="4"/>
  <c r="AQ28" i="4"/>
  <c r="AP28" i="4"/>
  <c r="AN28" i="4"/>
  <c r="AM28" i="4"/>
  <c r="AK28" i="4"/>
  <c r="AJ28" i="4"/>
  <c r="AH28" i="4"/>
  <c r="AG28" i="4"/>
  <c r="AE28" i="4"/>
  <c r="AD28" i="4"/>
  <c r="AB28" i="4"/>
  <c r="AA28" i="4"/>
  <c r="Y28" i="4"/>
  <c r="X28" i="4"/>
  <c r="V28" i="4"/>
  <c r="U28" i="4"/>
  <c r="S28" i="4"/>
  <c r="R28" i="4"/>
  <c r="P28" i="4"/>
  <c r="BA28" i="4" s="1"/>
  <c r="O28" i="4"/>
  <c r="AZ28" i="4" s="1"/>
  <c r="AW25" i="4"/>
  <c r="AV25" i="4"/>
  <c r="AT25" i="4"/>
  <c r="AS25" i="4"/>
  <c r="AQ25" i="4"/>
  <c r="AP25" i="4"/>
  <c r="AN25" i="4"/>
  <c r="AM25" i="4"/>
  <c r="AK25" i="4"/>
  <c r="AJ25" i="4"/>
  <c r="AH25" i="4"/>
  <c r="AG25" i="4"/>
  <c r="AE25" i="4"/>
  <c r="AD25" i="4"/>
  <c r="AB25" i="4"/>
  <c r="AA25" i="4"/>
  <c r="Y25" i="4"/>
  <c r="X25" i="4"/>
  <c r="V25" i="4"/>
  <c r="U25" i="4"/>
  <c r="AZ25" i="4" s="1"/>
  <c r="S25" i="4"/>
  <c r="BA25" i="4" s="1"/>
  <c r="R25" i="4"/>
  <c r="P25" i="4"/>
  <c r="O25" i="4"/>
  <c r="AW24" i="4"/>
  <c r="AV24" i="4"/>
  <c r="AT24" i="4"/>
  <c r="AS24" i="4"/>
  <c r="AQ24" i="4"/>
  <c r="AP24" i="4"/>
  <c r="AN24" i="4"/>
  <c r="AM24" i="4"/>
  <c r="AK24" i="4"/>
  <c r="AJ24" i="4"/>
  <c r="AH24" i="4"/>
  <c r="AG24" i="4"/>
  <c r="AE24" i="4"/>
  <c r="AD24" i="4"/>
  <c r="AB24" i="4"/>
  <c r="AA24" i="4"/>
  <c r="Y24" i="4"/>
  <c r="X24" i="4"/>
  <c r="V24" i="4"/>
  <c r="U24" i="4"/>
  <c r="S24" i="4"/>
  <c r="R24" i="4"/>
  <c r="P24" i="4"/>
  <c r="BA24" i="4" s="1"/>
  <c r="O24" i="4"/>
  <c r="AZ24" i="4" s="1"/>
  <c r="AW21" i="4"/>
  <c r="AV21" i="4"/>
  <c r="AT21" i="4"/>
  <c r="AS21" i="4"/>
  <c r="AQ21" i="4"/>
  <c r="AP21" i="4"/>
  <c r="AN21" i="4"/>
  <c r="AM21" i="4"/>
  <c r="AK21" i="4"/>
  <c r="AJ21" i="4"/>
  <c r="AH21" i="4"/>
  <c r="AG21" i="4"/>
  <c r="AE21" i="4"/>
  <c r="AD21" i="4"/>
  <c r="AB21" i="4"/>
  <c r="AA21" i="4"/>
  <c r="Y21" i="4"/>
  <c r="X21" i="4"/>
  <c r="V21" i="4"/>
  <c r="BA21" i="4" s="1"/>
  <c r="U21" i="4"/>
  <c r="S21" i="4"/>
  <c r="R21" i="4"/>
  <c r="P21" i="4"/>
  <c r="O21" i="4"/>
  <c r="AZ21" i="4" s="1"/>
  <c r="AW20" i="4"/>
  <c r="AV20" i="4"/>
  <c r="AT20" i="4"/>
  <c r="AS20" i="4"/>
  <c r="AQ20" i="4"/>
  <c r="AP20" i="4"/>
  <c r="AN20" i="4"/>
  <c r="AM20" i="4"/>
  <c r="AK20" i="4"/>
  <c r="AJ20" i="4"/>
  <c r="AH20" i="4"/>
  <c r="AG20" i="4"/>
  <c r="AE20" i="4"/>
  <c r="AD20" i="4"/>
  <c r="AB20" i="4"/>
  <c r="AA20" i="4"/>
  <c r="Y20" i="4"/>
  <c r="X20" i="4"/>
  <c r="V20" i="4"/>
  <c r="BA20" i="4" s="1"/>
  <c r="U20" i="4"/>
  <c r="S20" i="4"/>
  <c r="R20" i="4"/>
  <c r="P20" i="4"/>
  <c r="O20" i="4"/>
  <c r="AZ20" i="4" s="1"/>
  <c r="AW19" i="4"/>
  <c r="AV19" i="4"/>
  <c r="AT19" i="4"/>
  <c r="AS19" i="4"/>
  <c r="AQ19" i="4"/>
  <c r="AP19" i="4"/>
  <c r="AN19" i="4"/>
  <c r="AM19" i="4"/>
  <c r="AK19" i="4"/>
  <c r="AJ19" i="4"/>
  <c r="AH19" i="4"/>
  <c r="AG19" i="4"/>
  <c r="AE19" i="4"/>
  <c r="AD19" i="4"/>
  <c r="AB19" i="4"/>
  <c r="AA19" i="4"/>
  <c r="Y19" i="4"/>
  <c r="X19" i="4"/>
  <c r="V19" i="4"/>
  <c r="U19" i="4"/>
  <c r="S19" i="4"/>
  <c r="R19" i="4"/>
  <c r="P19" i="4"/>
  <c r="BA19" i="4" s="1"/>
  <c r="O19" i="4"/>
  <c r="AZ19" i="4" s="1"/>
  <c r="AW18" i="4"/>
  <c r="AV18" i="4"/>
  <c r="AT18" i="4"/>
  <c r="AS18" i="4"/>
  <c r="AQ18" i="4"/>
  <c r="AP18" i="4"/>
  <c r="AN18" i="4"/>
  <c r="AM18" i="4"/>
  <c r="AK18" i="4"/>
  <c r="AJ18" i="4"/>
  <c r="AH18" i="4"/>
  <c r="AG18" i="4"/>
  <c r="AE18" i="4"/>
  <c r="AD18" i="4"/>
  <c r="AB18" i="4"/>
  <c r="AA18" i="4"/>
  <c r="Y18" i="4"/>
  <c r="X18" i="4"/>
  <c r="V18" i="4"/>
  <c r="U18" i="4"/>
  <c r="AZ18" i="4" s="1"/>
  <c r="S18" i="4"/>
  <c r="BA18" i="4" s="1"/>
  <c r="R18" i="4"/>
  <c r="P18" i="4"/>
  <c r="O18" i="4"/>
  <c r="AW17" i="4"/>
  <c r="AV17" i="4"/>
  <c r="AT17" i="4"/>
  <c r="AS17" i="4"/>
  <c r="AQ17" i="4"/>
  <c r="AP17" i="4"/>
  <c r="AN17" i="4"/>
  <c r="AM17" i="4"/>
  <c r="AK17" i="4"/>
  <c r="AJ17" i="4"/>
  <c r="AH17" i="4"/>
  <c r="AG17" i="4"/>
  <c r="AE17" i="4"/>
  <c r="AD17" i="4"/>
  <c r="AB17" i="4"/>
  <c r="AA17" i="4"/>
  <c r="Y17" i="4"/>
  <c r="X17" i="4"/>
  <c r="V17" i="4"/>
  <c r="U17" i="4"/>
  <c r="S17" i="4"/>
  <c r="R17" i="4"/>
  <c r="P17" i="4"/>
  <c r="BA17" i="4" s="1"/>
  <c r="O17" i="4"/>
  <c r="AZ17" i="4" s="1"/>
  <c r="AW16" i="4"/>
  <c r="AV16" i="4"/>
  <c r="AT16" i="4"/>
  <c r="AS16" i="4"/>
  <c r="AQ16" i="4"/>
  <c r="AP16" i="4"/>
  <c r="AN16" i="4"/>
  <c r="AM16" i="4"/>
  <c r="AK16" i="4"/>
  <c r="AJ16" i="4"/>
  <c r="AH16" i="4"/>
  <c r="AG16" i="4"/>
  <c r="AE16" i="4"/>
  <c r="AD16" i="4"/>
  <c r="AB16" i="4"/>
  <c r="AA16" i="4"/>
  <c r="Y16" i="4"/>
  <c r="X16" i="4"/>
  <c r="V16" i="4"/>
  <c r="BA16" i="4" s="1"/>
  <c r="U16" i="4"/>
  <c r="S16" i="4"/>
  <c r="R16" i="4"/>
  <c r="P16" i="4"/>
  <c r="O16" i="4"/>
  <c r="AZ16" i="4" s="1"/>
  <c r="AW15" i="4"/>
  <c r="AV15" i="4"/>
  <c r="AT15" i="4"/>
  <c r="AS15" i="4"/>
  <c r="AQ15" i="4"/>
  <c r="AP15" i="4"/>
  <c r="AN15" i="4"/>
  <c r="AM15" i="4"/>
  <c r="AK15" i="4"/>
  <c r="AJ15" i="4"/>
  <c r="AH15" i="4"/>
  <c r="AG15" i="4"/>
  <c r="AE15" i="4"/>
  <c r="AD15" i="4"/>
  <c r="AB15" i="4"/>
  <c r="AA15" i="4"/>
  <c r="Y15" i="4"/>
  <c r="X15" i="4"/>
  <c r="V15" i="4"/>
  <c r="BA15" i="4" s="1"/>
  <c r="U15" i="4"/>
  <c r="S15" i="4"/>
  <c r="R15" i="4"/>
  <c r="P15" i="4"/>
  <c r="O15" i="4"/>
  <c r="AZ15" i="4" s="1"/>
  <c r="AW14" i="4"/>
  <c r="AV14" i="4"/>
  <c r="AT14" i="4"/>
  <c r="AS14" i="4"/>
  <c r="AQ14" i="4"/>
  <c r="AP14" i="4"/>
  <c r="AN14" i="4"/>
  <c r="AM14" i="4"/>
  <c r="AK14" i="4"/>
  <c r="AJ14" i="4"/>
  <c r="AH14" i="4"/>
  <c r="AG14" i="4"/>
  <c r="AE14" i="4"/>
  <c r="AD14" i="4"/>
  <c r="AB14" i="4"/>
  <c r="AA14" i="4"/>
  <c r="Y14" i="4"/>
  <c r="X14" i="4"/>
  <c r="V14" i="4"/>
  <c r="U14" i="4"/>
  <c r="S14" i="4"/>
  <c r="R14" i="4"/>
  <c r="P14" i="4"/>
  <c r="BA14" i="4" s="1"/>
  <c r="O14" i="4"/>
  <c r="AZ14" i="4" s="1"/>
  <c r="AW13" i="4"/>
  <c r="AV13" i="4"/>
  <c r="AT13" i="4"/>
  <c r="AS13" i="4"/>
  <c r="AQ13" i="4"/>
  <c r="AP13" i="4"/>
  <c r="AN13" i="4"/>
  <c r="AM13" i="4"/>
  <c r="AK13" i="4"/>
  <c r="AJ13" i="4"/>
  <c r="AH13" i="4"/>
  <c r="AG13" i="4"/>
  <c r="AE13" i="4"/>
  <c r="AD13" i="4"/>
  <c r="AB13" i="4"/>
  <c r="AA13" i="4"/>
  <c r="Y13" i="4"/>
  <c r="X13" i="4"/>
  <c r="V13" i="4"/>
  <c r="U13" i="4"/>
  <c r="AZ13" i="4" s="1"/>
  <c r="S13" i="4"/>
  <c r="BA13" i="4" s="1"/>
  <c r="R13" i="4"/>
  <c r="P13" i="4"/>
  <c r="O13" i="4"/>
  <c r="AW12" i="4"/>
  <c r="AV12" i="4"/>
  <c r="AT12" i="4"/>
  <c r="AS12" i="4"/>
  <c r="AQ12" i="4"/>
  <c r="AP12" i="4"/>
  <c r="AN12" i="4"/>
  <c r="AM12" i="4"/>
  <c r="AK12" i="4"/>
  <c r="AJ12" i="4"/>
  <c r="AH12" i="4"/>
  <c r="AG12" i="4"/>
  <c r="AE12" i="4"/>
  <c r="AD12" i="4"/>
  <c r="AB12" i="4"/>
  <c r="AA12" i="4"/>
  <c r="Y12" i="4"/>
  <c r="X12" i="4"/>
  <c r="V12" i="4"/>
  <c r="U12" i="4"/>
  <c r="S12" i="4"/>
  <c r="R12" i="4"/>
  <c r="P12" i="4"/>
  <c r="BA12" i="4" s="1"/>
  <c r="O12" i="4"/>
  <c r="AZ12" i="4" s="1"/>
  <c r="AW11" i="4"/>
  <c r="AV11" i="4"/>
  <c r="AT11" i="4"/>
  <c r="AS11" i="4"/>
  <c r="AQ11" i="4"/>
  <c r="AP11" i="4"/>
  <c r="AN11" i="4"/>
  <c r="AM11" i="4"/>
  <c r="AK11" i="4"/>
  <c r="AJ11" i="4"/>
  <c r="AH11" i="4"/>
  <c r="AG11" i="4"/>
  <c r="AE11" i="4"/>
  <c r="AD11" i="4"/>
  <c r="AB11" i="4"/>
  <c r="AA11" i="4"/>
  <c r="Y11" i="4"/>
  <c r="X11" i="4"/>
  <c r="V11" i="4"/>
  <c r="BA11" i="4" s="1"/>
  <c r="U11" i="4"/>
  <c r="S11" i="4"/>
  <c r="R11" i="4"/>
  <c r="P11" i="4"/>
  <c r="O11" i="4"/>
  <c r="AZ11" i="4" s="1"/>
  <c r="AW10" i="4"/>
  <c r="AV10" i="4"/>
  <c r="AT10" i="4"/>
  <c r="AS10" i="4"/>
  <c r="AQ10" i="4"/>
  <c r="AP10" i="4"/>
  <c r="AN10" i="4"/>
  <c r="AM10" i="4"/>
  <c r="AK10" i="4"/>
  <c r="AJ10" i="4"/>
  <c r="AH10" i="4"/>
  <c r="AG10" i="4"/>
  <c r="AE10" i="4"/>
  <c r="AD10" i="4"/>
  <c r="AB10" i="4"/>
  <c r="AA10" i="4"/>
  <c r="Y10" i="4"/>
  <c r="X10" i="4"/>
  <c r="V10" i="4"/>
  <c r="BA10" i="4" s="1"/>
  <c r="U10" i="4"/>
  <c r="S10" i="4"/>
  <c r="R10" i="4"/>
  <c r="P10" i="4"/>
  <c r="O10" i="4"/>
  <c r="AZ10" i="4" s="1"/>
  <c r="AW9" i="4"/>
  <c r="AV9" i="4"/>
  <c r="AT9" i="4"/>
  <c r="AS9" i="4"/>
  <c r="AQ9" i="4"/>
  <c r="AP9" i="4"/>
  <c r="AN9" i="4"/>
  <c r="AM9" i="4"/>
  <c r="AK9" i="4"/>
  <c r="AJ9" i="4"/>
  <c r="AH9" i="4"/>
  <c r="AG9" i="4"/>
  <c r="AE9" i="4"/>
  <c r="AD9" i="4"/>
  <c r="AB9" i="4"/>
  <c r="AA9" i="4"/>
  <c r="Y9" i="4"/>
  <c r="X9" i="4"/>
  <c r="V9" i="4"/>
  <c r="U9" i="4"/>
  <c r="S9" i="4"/>
  <c r="R9" i="4"/>
  <c r="P9" i="4"/>
  <c r="BA9" i="4" s="1"/>
  <c r="O9" i="4"/>
  <c r="AZ9" i="4" s="1"/>
  <c r="AW8" i="4"/>
  <c r="AV8" i="4"/>
  <c r="AT8" i="4"/>
  <c r="AS8" i="4"/>
  <c r="AQ8" i="4"/>
  <c r="AP8" i="4"/>
  <c r="AN8" i="4"/>
  <c r="AM8" i="4"/>
  <c r="AK8" i="4"/>
  <c r="AJ8" i="4"/>
  <c r="AH8" i="4"/>
  <c r="AG8" i="4"/>
  <c r="AE8" i="4"/>
  <c r="AD8" i="4"/>
  <c r="AB8" i="4"/>
  <c r="AA8" i="4"/>
  <c r="Y8" i="4"/>
  <c r="X8" i="4"/>
  <c r="V8" i="4"/>
  <c r="U8" i="4"/>
  <c r="AZ8" i="4" s="1"/>
  <c r="S8" i="4"/>
  <c r="BA8" i="4" s="1"/>
  <c r="R8" i="4"/>
  <c r="P8" i="4"/>
  <c r="O8" i="4"/>
  <c r="AW7" i="4"/>
  <c r="AV7" i="4"/>
  <c r="AT7" i="4"/>
  <c r="AS7" i="4"/>
  <c r="AQ7" i="4"/>
  <c r="AP7" i="4"/>
  <c r="AN7" i="4"/>
  <c r="AM7" i="4"/>
  <c r="AK7" i="4"/>
  <c r="AJ7" i="4"/>
  <c r="AH7" i="4"/>
  <c r="AG7" i="4"/>
  <c r="AE7" i="4"/>
  <c r="AD7" i="4"/>
  <c r="AB7" i="4"/>
  <c r="AA7" i="4"/>
  <c r="Y7" i="4"/>
  <c r="X7" i="4"/>
  <c r="V7" i="4"/>
  <c r="U7" i="4"/>
  <c r="S7" i="4"/>
  <c r="R7" i="4"/>
  <c r="P7" i="4"/>
  <c r="BA7" i="4" s="1"/>
  <c r="O7" i="4"/>
  <c r="AZ7" i="4" s="1"/>
  <c r="AW6" i="4"/>
  <c r="AV6" i="4"/>
  <c r="AT6" i="4"/>
  <c r="AS6" i="4"/>
  <c r="AQ6" i="4"/>
  <c r="AP6" i="4"/>
  <c r="AN6" i="4"/>
  <c r="AM6" i="4"/>
  <c r="AK6" i="4"/>
  <c r="AJ6" i="4"/>
  <c r="AH6" i="4"/>
  <c r="AG6" i="4"/>
  <c r="AE6" i="4"/>
  <c r="AD6" i="4"/>
  <c r="AB6" i="4"/>
  <c r="AA6" i="4"/>
  <c r="Y6" i="4"/>
  <c r="X6" i="4"/>
  <c r="V6" i="4"/>
  <c r="BA6" i="4" s="1"/>
  <c r="U6" i="4"/>
  <c r="AZ6" i="4" s="1"/>
  <c r="S6" i="4"/>
  <c r="R6" i="4"/>
  <c r="P6" i="4"/>
  <c r="O6" i="4"/>
  <c r="AW5" i="4"/>
  <c r="AV5" i="4"/>
  <c r="AT5" i="4"/>
  <c r="AS5" i="4"/>
  <c r="AQ5" i="4"/>
  <c r="AP5" i="4"/>
  <c r="AN5" i="4"/>
  <c r="AM5" i="4"/>
  <c r="AK5" i="4"/>
  <c r="AJ5" i="4"/>
  <c r="AH5" i="4"/>
  <c r="AG5" i="4"/>
  <c r="AE5" i="4"/>
  <c r="AD5" i="4"/>
  <c r="AB5" i="4"/>
  <c r="AA5" i="4"/>
  <c r="Y5" i="4"/>
  <c r="X5" i="4"/>
  <c r="V5" i="4"/>
  <c r="BA5" i="4" s="1"/>
  <c r="U5" i="4"/>
  <c r="S5" i="4"/>
  <c r="R5" i="4"/>
  <c r="P5" i="4"/>
  <c r="O5" i="4"/>
  <c r="AZ5" i="4" s="1"/>
  <c r="AW4" i="4"/>
  <c r="AV4" i="4"/>
  <c r="AT4" i="4"/>
  <c r="AS4" i="4"/>
  <c r="AQ4" i="4"/>
  <c r="AP4" i="4"/>
  <c r="AN4" i="4"/>
  <c r="AM4" i="4"/>
  <c r="AK4" i="4"/>
  <c r="AJ4" i="4"/>
  <c r="AH4" i="4"/>
  <c r="AG4" i="4"/>
  <c r="AE4" i="4"/>
  <c r="AD4" i="4"/>
  <c r="AB4" i="4"/>
  <c r="AA4" i="4"/>
  <c r="Y4" i="4"/>
  <c r="X4" i="4"/>
  <c r="V4" i="4"/>
  <c r="U4" i="4"/>
  <c r="S4" i="4"/>
  <c r="R4" i="4"/>
  <c r="P4" i="4"/>
  <c r="BA4" i="4" s="1"/>
  <c r="O4" i="4"/>
  <c r="AZ4" i="4" s="1"/>
  <c r="AW3" i="4"/>
  <c r="AV3" i="4"/>
  <c r="AT3" i="4"/>
  <c r="AS3" i="4"/>
  <c r="AQ3" i="4"/>
  <c r="AP3" i="4"/>
  <c r="AN3" i="4"/>
  <c r="AM3" i="4"/>
  <c r="AK3" i="4"/>
  <c r="AJ3" i="4"/>
  <c r="AH3" i="4"/>
  <c r="AG3" i="4"/>
  <c r="AE3" i="4"/>
  <c r="AD3" i="4"/>
  <c r="AB3" i="4"/>
  <c r="AA3" i="4"/>
  <c r="Y3" i="4"/>
  <c r="X3" i="4"/>
  <c r="V3" i="4"/>
  <c r="U3" i="4"/>
  <c r="AZ3" i="4" s="1"/>
  <c r="S3" i="4"/>
  <c r="BA3" i="4" s="1"/>
  <c r="R3" i="4"/>
  <c r="P3" i="4"/>
  <c r="O3" i="4"/>
  <c r="AY24" i="3"/>
  <c r="AX24" i="3"/>
  <c r="AV24" i="3"/>
  <c r="AU24" i="3"/>
  <c r="AS24" i="3"/>
  <c r="AR24" i="3"/>
  <c r="AP24" i="3"/>
  <c r="AO24" i="3"/>
  <c r="AM24" i="3"/>
  <c r="AL24" i="3"/>
  <c r="AJ24" i="3"/>
  <c r="AI24" i="3"/>
  <c r="AG24" i="3"/>
  <c r="AF24" i="3"/>
  <c r="AD24" i="3"/>
  <c r="AC24" i="3"/>
  <c r="AA24" i="3"/>
  <c r="Z24" i="3"/>
  <c r="X24" i="3"/>
  <c r="W24" i="3"/>
  <c r="BB24" i="3" s="1"/>
  <c r="U24" i="3"/>
  <c r="BC24" i="3" s="1"/>
  <c r="T24" i="3"/>
  <c r="R24" i="3"/>
  <c r="Q24" i="3"/>
  <c r="AY23" i="3"/>
  <c r="AX23" i="3"/>
  <c r="AV23" i="3"/>
  <c r="AU23" i="3"/>
  <c r="AS23" i="3"/>
  <c r="AR23" i="3"/>
  <c r="AP23" i="3"/>
  <c r="AO23" i="3"/>
  <c r="AM23" i="3"/>
  <c r="AL23" i="3"/>
  <c r="AJ23" i="3"/>
  <c r="AI23" i="3"/>
  <c r="AG23" i="3"/>
  <c r="AF23" i="3"/>
  <c r="AD23" i="3"/>
  <c r="AC23" i="3"/>
  <c r="AA23" i="3"/>
  <c r="Z23" i="3"/>
  <c r="X23" i="3"/>
  <c r="W23" i="3"/>
  <c r="U23" i="3"/>
  <c r="T23" i="3"/>
  <c r="R23" i="3"/>
  <c r="BC23" i="3" s="1"/>
  <c r="Q23" i="3"/>
  <c r="BB23" i="3" s="1"/>
  <c r="AY22" i="3"/>
  <c r="AX22" i="3"/>
  <c r="AV22" i="3"/>
  <c r="AU22" i="3"/>
  <c r="AS22" i="3"/>
  <c r="AR22" i="3"/>
  <c r="AP22" i="3"/>
  <c r="AO22" i="3"/>
  <c r="AM22" i="3"/>
  <c r="AL22" i="3"/>
  <c r="AJ22" i="3"/>
  <c r="AI22" i="3"/>
  <c r="AG22" i="3"/>
  <c r="AF22" i="3"/>
  <c r="AD22" i="3"/>
  <c r="AC22" i="3"/>
  <c r="AA22" i="3"/>
  <c r="Z22" i="3"/>
  <c r="X22" i="3"/>
  <c r="BC22" i="3" s="1"/>
  <c r="W22" i="3"/>
  <c r="U22" i="3"/>
  <c r="T22" i="3"/>
  <c r="R22" i="3"/>
  <c r="Q22" i="3"/>
  <c r="BB22" i="3" s="1"/>
  <c r="AY21" i="3"/>
  <c r="AX21" i="3"/>
  <c r="AV21" i="3"/>
  <c r="AU21" i="3"/>
  <c r="AS21" i="3"/>
  <c r="AR21" i="3"/>
  <c r="AP21" i="3"/>
  <c r="AO21" i="3"/>
  <c r="AM21" i="3"/>
  <c r="AL21" i="3"/>
  <c r="AJ21" i="3"/>
  <c r="AI21" i="3"/>
  <c r="AG21" i="3"/>
  <c r="AF21" i="3"/>
  <c r="AD21" i="3"/>
  <c r="AC21" i="3"/>
  <c r="AA21" i="3"/>
  <c r="Z21" i="3"/>
  <c r="X21" i="3"/>
  <c r="W21" i="3"/>
  <c r="U21" i="3"/>
  <c r="T21" i="3"/>
  <c r="BB21" i="3" s="1"/>
  <c r="R21" i="3"/>
  <c r="BC21" i="3" s="1"/>
  <c r="Q21" i="3"/>
  <c r="AY20" i="3"/>
  <c r="AX20" i="3"/>
  <c r="AV20" i="3"/>
  <c r="AU20" i="3"/>
  <c r="AS20" i="3"/>
  <c r="AR20" i="3"/>
  <c r="AP20" i="3"/>
  <c r="AO20" i="3"/>
  <c r="AM20" i="3"/>
  <c r="AL20" i="3"/>
  <c r="AJ20" i="3"/>
  <c r="AI20" i="3"/>
  <c r="AG20" i="3"/>
  <c r="AF20" i="3"/>
  <c r="AD20" i="3"/>
  <c r="AC20" i="3"/>
  <c r="AA20" i="3"/>
  <c r="Z20" i="3"/>
  <c r="X20" i="3"/>
  <c r="W20" i="3"/>
  <c r="U20" i="3"/>
  <c r="T20" i="3"/>
  <c r="R20" i="3"/>
  <c r="BC20" i="3" s="1"/>
  <c r="Q20" i="3"/>
  <c r="BB20" i="3" s="1"/>
  <c r="AY19" i="3"/>
  <c r="AX19" i="3"/>
  <c r="AV19" i="3"/>
  <c r="AU19" i="3"/>
  <c r="AS19" i="3"/>
  <c r="AR19" i="3"/>
  <c r="AP19" i="3"/>
  <c r="AO19" i="3"/>
  <c r="AM19" i="3"/>
  <c r="AL19" i="3"/>
  <c r="AJ19" i="3"/>
  <c r="AI19" i="3"/>
  <c r="AG19" i="3"/>
  <c r="AF19" i="3"/>
  <c r="AD19" i="3"/>
  <c r="AC19" i="3"/>
  <c r="AA19" i="3"/>
  <c r="Z19" i="3"/>
  <c r="X19" i="3"/>
  <c r="W19" i="3"/>
  <c r="BB19" i="3" s="1"/>
  <c r="U19" i="3"/>
  <c r="BC19" i="3" s="1"/>
  <c r="T19" i="3"/>
  <c r="R19" i="3"/>
  <c r="Q19" i="3"/>
  <c r="AY18" i="3"/>
  <c r="AX18" i="3"/>
  <c r="AV18" i="3"/>
  <c r="AU18" i="3"/>
  <c r="AS18" i="3"/>
  <c r="AR18" i="3"/>
  <c r="AP18" i="3"/>
  <c r="AO18" i="3"/>
  <c r="AM18" i="3"/>
  <c r="AL18" i="3"/>
  <c r="AJ18" i="3"/>
  <c r="AI18" i="3"/>
  <c r="AG18" i="3"/>
  <c r="AF18" i="3"/>
  <c r="AD18" i="3"/>
  <c r="AC18" i="3"/>
  <c r="AA18" i="3"/>
  <c r="Z18" i="3"/>
  <c r="X18" i="3"/>
  <c r="W18" i="3"/>
  <c r="U18" i="3"/>
  <c r="T18" i="3"/>
  <c r="R18" i="3"/>
  <c r="BC18" i="3" s="1"/>
  <c r="Q18" i="3"/>
  <c r="BB18" i="3" s="1"/>
  <c r="AY17" i="3"/>
  <c r="AX17" i="3"/>
  <c r="AV17" i="3"/>
  <c r="AU17" i="3"/>
  <c r="AS17" i="3"/>
  <c r="AR17" i="3"/>
  <c r="AP17" i="3"/>
  <c r="AO17" i="3"/>
  <c r="AM17" i="3"/>
  <c r="AL17" i="3"/>
  <c r="AJ17" i="3"/>
  <c r="AI17" i="3"/>
  <c r="AG17" i="3"/>
  <c r="AF17" i="3"/>
  <c r="AD17" i="3"/>
  <c r="AC17" i="3"/>
  <c r="AA17" i="3"/>
  <c r="Z17" i="3"/>
  <c r="X17" i="3"/>
  <c r="BC17" i="3" s="1"/>
  <c r="W17" i="3"/>
  <c r="U17" i="3"/>
  <c r="T17" i="3"/>
  <c r="R17" i="3"/>
  <c r="Q17" i="3"/>
  <c r="BB17" i="3" s="1"/>
  <c r="AY16" i="3"/>
  <c r="AX16" i="3"/>
  <c r="AV16" i="3"/>
  <c r="AU16" i="3"/>
  <c r="AS16" i="3"/>
  <c r="AR16" i="3"/>
  <c r="AP16" i="3"/>
  <c r="AO16" i="3"/>
  <c r="AM16" i="3"/>
  <c r="AL16" i="3"/>
  <c r="AJ16" i="3"/>
  <c r="AI16" i="3"/>
  <c r="AG16" i="3"/>
  <c r="AF16" i="3"/>
  <c r="AD16" i="3"/>
  <c r="AC16" i="3"/>
  <c r="AA16" i="3"/>
  <c r="Z16" i="3"/>
  <c r="X16" i="3"/>
  <c r="W16" i="3"/>
  <c r="U16" i="3"/>
  <c r="T16" i="3"/>
  <c r="BB16" i="3" s="1"/>
  <c r="R16" i="3"/>
  <c r="BC16" i="3" s="1"/>
  <c r="Q16" i="3"/>
  <c r="AY15" i="3"/>
  <c r="AX15" i="3"/>
  <c r="AV15" i="3"/>
  <c r="AU15" i="3"/>
  <c r="AS15" i="3"/>
  <c r="AR15" i="3"/>
  <c r="AP15" i="3"/>
  <c r="AO15" i="3"/>
  <c r="AM15" i="3"/>
  <c r="AL15" i="3"/>
  <c r="AJ15" i="3"/>
  <c r="AI15" i="3"/>
  <c r="AG15" i="3"/>
  <c r="AF15" i="3"/>
  <c r="AD15" i="3"/>
  <c r="AC15" i="3"/>
  <c r="AA15" i="3"/>
  <c r="Z15" i="3"/>
  <c r="X15" i="3"/>
  <c r="W15" i="3"/>
  <c r="U15" i="3"/>
  <c r="T15" i="3"/>
  <c r="R15" i="3"/>
  <c r="BC15" i="3" s="1"/>
  <c r="Q15" i="3"/>
  <c r="BB15" i="3" s="1"/>
  <c r="AY14" i="3"/>
  <c r="AX14" i="3"/>
  <c r="AV14" i="3"/>
  <c r="AU14" i="3"/>
  <c r="AS14" i="3"/>
  <c r="AR14" i="3"/>
  <c r="AP14" i="3"/>
  <c r="AO14" i="3"/>
  <c r="AM14" i="3"/>
  <c r="AL14" i="3"/>
  <c r="AJ14" i="3"/>
  <c r="AI14" i="3"/>
  <c r="AG14" i="3"/>
  <c r="AF14" i="3"/>
  <c r="AD14" i="3"/>
  <c r="AC14" i="3"/>
  <c r="AA14" i="3"/>
  <c r="Z14" i="3"/>
  <c r="X14" i="3"/>
  <c r="W14" i="3"/>
  <c r="BB14" i="3" s="1"/>
  <c r="U14" i="3"/>
  <c r="BC14" i="3" s="1"/>
  <c r="T14" i="3"/>
  <c r="R14" i="3"/>
  <c r="Q14" i="3"/>
  <c r="AY13" i="3"/>
  <c r="AX13" i="3"/>
  <c r="AV13" i="3"/>
  <c r="AU13" i="3"/>
  <c r="AS13" i="3"/>
  <c r="AR13" i="3"/>
  <c r="AP13" i="3"/>
  <c r="AO13" i="3"/>
  <c r="AM13" i="3"/>
  <c r="AL13" i="3"/>
  <c r="AJ13" i="3"/>
  <c r="AI13" i="3"/>
  <c r="AG13" i="3"/>
  <c r="AF13" i="3"/>
  <c r="AD13" i="3"/>
  <c r="AC13" i="3"/>
  <c r="AA13" i="3"/>
  <c r="Z13" i="3"/>
  <c r="X13" i="3"/>
  <c r="W13" i="3"/>
  <c r="U13" i="3"/>
  <c r="T13" i="3"/>
  <c r="R13" i="3"/>
  <c r="BC13" i="3" s="1"/>
  <c r="Q13" i="3"/>
  <c r="BB13" i="3" s="1"/>
  <c r="AY12" i="3"/>
  <c r="AX12" i="3"/>
  <c r="AV12" i="3"/>
  <c r="AU12" i="3"/>
  <c r="AS12" i="3"/>
  <c r="AR12" i="3"/>
  <c r="AP12" i="3"/>
  <c r="AO12" i="3"/>
  <c r="AM12" i="3"/>
  <c r="AL12" i="3"/>
  <c r="AJ12" i="3"/>
  <c r="AI12" i="3"/>
  <c r="AG12" i="3"/>
  <c r="AF12" i="3"/>
  <c r="AD12" i="3"/>
  <c r="AC12" i="3"/>
  <c r="AA12" i="3"/>
  <c r="Z12" i="3"/>
  <c r="X12" i="3"/>
  <c r="BC12" i="3" s="1"/>
  <c r="W12" i="3"/>
  <c r="U12" i="3"/>
  <c r="T12" i="3"/>
  <c r="R12" i="3"/>
  <c r="Q12" i="3"/>
  <c r="BB12" i="3" s="1"/>
  <c r="AY11" i="3"/>
  <c r="AX11" i="3"/>
  <c r="AV11" i="3"/>
  <c r="AU11" i="3"/>
  <c r="AS11" i="3"/>
  <c r="AR11" i="3"/>
  <c r="AP11" i="3"/>
  <c r="AO11" i="3"/>
  <c r="AM11" i="3"/>
  <c r="AL11" i="3"/>
  <c r="AJ11" i="3"/>
  <c r="AI11" i="3"/>
  <c r="AG11" i="3"/>
  <c r="AF11" i="3"/>
  <c r="AD11" i="3"/>
  <c r="AC11" i="3"/>
  <c r="AA11" i="3"/>
  <c r="Z11" i="3"/>
  <c r="X11" i="3"/>
  <c r="W11" i="3"/>
  <c r="U11" i="3"/>
  <c r="T11" i="3"/>
  <c r="BB11" i="3" s="1"/>
  <c r="R11" i="3"/>
  <c r="BC11" i="3" s="1"/>
  <c r="Q11" i="3"/>
  <c r="AY10" i="3"/>
  <c r="AX10" i="3"/>
  <c r="AV10" i="3"/>
  <c r="AU10" i="3"/>
  <c r="AS10" i="3"/>
  <c r="AR10" i="3"/>
  <c r="AP10" i="3"/>
  <c r="AO10" i="3"/>
  <c r="AM10" i="3"/>
  <c r="AL10" i="3"/>
  <c r="AJ10" i="3"/>
  <c r="AI10" i="3"/>
  <c r="AG10" i="3"/>
  <c r="AF10" i="3"/>
  <c r="AD10" i="3"/>
  <c r="AC10" i="3"/>
  <c r="AA10" i="3"/>
  <c r="Z10" i="3"/>
  <c r="X10" i="3"/>
  <c r="W10" i="3"/>
  <c r="U10" i="3"/>
  <c r="T10" i="3"/>
  <c r="R10" i="3"/>
  <c r="BC10" i="3" s="1"/>
  <c r="Q10" i="3"/>
  <c r="BB10" i="3" s="1"/>
  <c r="AY9" i="3"/>
  <c r="AX9" i="3"/>
  <c r="AV9" i="3"/>
  <c r="AU9" i="3"/>
  <c r="AS9" i="3"/>
  <c r="AR9" i="3"/>
  <c r="AP9" i="3"/>
  <c r="AO9" i="3"/>
  <c r="AM9" i="3"/>
  <c r="AL9" i="3"/>
  <c r="AJ9" i="3"/>
  <c r="AI9" i="3"/>
  <c r="AG9" i="3"/>
  <c r="AF9" i="3"/>
  <c r="AD9" i="3"/>
  <c r="AC9" i="3"/>
  <c r="AA9" i="3"/>
  <c r="Z9" i="3"/>
  <c r="X9" i="3"/>
  <c r="W9" i="3"/>
  <c r="BB9" i="3" s="1"/>
  <c r="U9" i="3"/>
  <c r="BC9" i="3" s="1"/>
  <c r="T9" i="3"/>
  <c r="R9" i="3"/>
  <c r="Q9" i="3"/>
  <c r="AY8" i="3"/>
  <c r="AX8" i="3"/>
  <c r="AV8" i="3"/>
  <c r="AU8" i="3"/>
  <c r="AS8" i="3"/>
  <c r="AR8" i="3"/>
  <c r="AP8" i="3"/>
  <c r="AO8" i="3"/>
  <c r="AM8" i="3"/>
  <c r="AL8" i="3"/>
  <c r="AJ8" i="3"/>
  <c r="AI8" i="3"/>
  <c r="AG8" i="3"/>
  <c r="AF8" i="3"/>
  <c r="AD8" i="3"/>
  <c r="AC8" i="3"/>
  <c r="AA8" i="3"/>
  <c r="Z8" i="3"/>
  <c r="X8" i="3"/>
  <c r="W8" i="3"/>
  <c r="U8" i="3"/>
  <c r="T8" i="3"/>
  <c r="R8" i="3"/>
  <c r="BC8" i="3" s="1"/>
  <c r="Q8" i="3"/>
  <c r="BB8" i="3" s="1"/>
  <c r="AY7" i="3"/>
  <c r="AX7" i="3"/>
  <c r="AV7" i="3"/>
  <c r="AU7" i="3"/>
  <c r="AS7" i="3"/>
  <c r="AR7" i="3"/>
  <c r="AP7" i="3"/>
  <c r="AO7" i="3"/>
  <c r="AM7" i="3"/>
  <c r="AL7" i="3"/>
  <c r="AJ7" i="3"/>
  <c r="AI7" i="3"/>
  <c r="AG7" i="3"/>
  <c r="AF7" i="3"/>
  <c r="AD7" i="3"/>
  <c r="AC7" i="3"/>
  <c r="AA7" i="3"/>
  <c r="Z7" i="3"/>
  <c r="X7" i="3"/>
  <c r="BC7" i="3" s="1"/>
  <c r="W7" i="3"/>
  <c r="U7" i="3"/>
  <c r="T7" i="3"/>
  <c r="R7" i="3"/>
  <c r="Q7" i="3"/>
  <c r="BB7" i="3" s="1"/>
  <c r="AY6" i="3"/>
  <c r="AX6" i="3"/>
  <c r="AV6" i="3"/>
  <c r="AU6" i="3"/>
  <c r="AS6" i="3"/>
  <c r="AR6" i="3"/>
  <c r="AP6" i="3"/>
  <c r="AO6" i="3"/>
  <c r="AM6" i="3"/>
  <c r="AL6" i="3"/>
  <c r="AJ6" i="3"/>
  <c r="AI6" i="3"/>
  <c r="AG6" i="3"/>
  <c r="AF6" i="3"/>
  <c r="AD6" i="3"/>
  <c r="AC6" i="3"/>
  <c r="AA6" i="3"/>
  <c r="Z6" i="3"/>
  <c r="X6" i="3"/>
  <c r="W6" i="3"/>
  <c r="U6" i="3"/>
  <c r="T6" i="3"/>
  <c r="BB6" i="3" s="1"/>
  <c r="R6" i="3"/>
  <c r="BC6" i="3" s="1"/>
  <c r="Q6" i="3"/>
  <c r="AY5" i="3"/>
  <c r="AX5" i="3"/>
  <c r="AV5" i="3"/>
  <c r="AU5" i="3"/>
  <c r="AS5" i="3"/>
  <c r="AR5" i="3"/>
  <c r="AR25" i="3" s="1"/>
  <c r="AP5" i="3"/>
  <c r="AP25" i="3" s="1"/>
  <c r="AO5" i="3"/>
  <c r="AM5" i="3"/>
  <c r="AL5" i="3"/>
  <c r="AJ5" i="3"/>
  <c r="AI5" i="3"/>
  <c r="AG5" i="3"/>
  <c r="AF5" i="3"/>
  <c r="AD5" i="3"/>
  <c r="AC5" i="3"/>
  <c r="AC25" i="3" s="1"/>
  <c r="AA5" i="3"/>
  <c r="AA25" i="3" s="1"/>
  <c r="Z5" i="3"/>
  <c r="X5" i="3"/>
  <c r="W5" i="3"/>
  <c r="U5" i="3"/>
  <c r="T5" i="3"/>
  <c r="R5" i="3"/>
  <c r="BC5" i="3" s="1"/>
  <c r="Q5" i="3"/>
  <c r="BB5" i="3" s="1"/>
  <c r="BB4" i="3"/>
  <c r="AY4" i="3"/>
  <c r="AX4" i="3"/>
  <c r="AV4" i="3"/>
  <c r="AU4" i="3"/>
  <c r="AS4" i="3"/>
  <c r="AR4" i="3"/>
  <c r="AP4" i="3"/>
  <c r="AO4" i="3"/>
  <c r="AM4" i="3"/>
  <c r="AL4" i="3"/>
  <c r="AJ4" i="3"/>
  <c r="AI4" i="3"/>
  <c r="AG4" i="3"/>
  <c r="AF4" i="3"/>
  <c r="AD4" i="3"/>
  <c r="AC4" i="3"/>
  <c r="AA4" i="3"/>
  <c r="Z4" i="3"/>
  <c r="X4" i="3"/>
  <c r="W4" i="3"/>
  <c r="U4" i="3"/>
  <c r="BC4" i="3" s="1"/>
  <c r="T4" i="3"/>
  <c r="R4" i="3"/>
  <c r="Q4" i="3"/>
  <c r="AY3" i="3"/>
  <c r="AY25" i="3" s="1"/>
  <c r="AX3" i="3"/>
  <c r="AX25" i="3" s="1"/>
  <c r="AV3" i="3"/>
  <c r="AV25" i="3" s="1"/>
  <c r="AU3" i="3"/>
  <c r="AU25" i="3" s="1"/>
  <c r="AS3" i="3"/>
  <c r="AS25" i="3" s="1"/>
  <c r="AR3" i="3"/>
  <c r="AP3" i="3"/>
  <c r="AO3" i="3"/>
  <c r="AO25" i="3" s="1"/>
  <c r="AM3" i="3"/>
  <c r="AM25" i="3" s="1"/>
  <c r="AL3" i="3"/>
  <c r="AL25" i="3" s="1"/>
  <c r="AJ3" i="3"/>
  <c r="AJ25" i="3" s="1"/>
  <c r="AI3" i="3"/>
  <c r="AI25" i="3" s="1"/>
  <c r="AG3" i="3"/>
  <c r="AG25" i="3" s="1"/>
  <c r="AF3" i="3"/>
  <c r="AF25" i="3" s="1"/>
  <c r="AD3" i="3"/>
  <c r="AD25" i="3" s="1"/>
  <c r="AC3" i="3"/>
  <c r="AA3" i="3"/>
  <c r="Z3" i="3"/>
  <c r="Z25" i="3" s="1"/>
  <c r="X3" i="3"/>
  <c r="X25" i="3" s="1"/>
  <c r="W3" i="3"/>
  <c r="W25" i="3" s="1"/>
  <c r="U3" i="3"/>
  <c r="U25" i="3" s="1"/>
  <c r="T3" i="3"/>
  <c r="T25" i="3" s="1"/>
  <c r="R3" i="3"/>
  <c r="BC3" i="3" s="1"/>
  <c r="Q3" i="3"/>
  <c r="BB3" i="3" s="1"/>
  <c r="AW21" i="2"/>
  <c r="AV21" i="2"/>
  <c r="AT21" i="2"/>
  <c r="AS21" i="2"/>
  <c r="AQ21" i="2"/>
  <c r="AP21" i="2"/>
  <c r="AN21" i="2"/>
  <c r="AM21" i="2"/>
  <c r="AK21" i="2"/>
  <c r="AJ21" i="2"/>
  <c r="AH21" i="2"/>
  <c r="AG21" i="2"/>
  <c r="AE21" i="2"/>
  <c r="AD21" i="2"/>
  <c r="AB21" i="2"/>
  <c r="AA21" i="2"/>
  <c r="Y21" i="2"/>
  <c r="X21" i="2"/>
  <c r="V21" i="2"/>
  <c r="U21" i="2"/>
  <c r="S21" i="2"/>
  <c r="R21" i="2"/>
  <c r="P21" i="2"/>
  <c r="O21" i="2"/>
  <c r="AW20" i="2"/>
  <c r="AV20" i="2"/>
  <c r="AT20" i="2"/>
  <c r="AS20" i="2"/>
  <c r="AQ20" i="2"/>
  <c r="AP20" i="2"/>
  <c r="AN20" i="2"/>
  <c r="AM20" i="2"/>
  <c r="AK20" i="2"/>
  <c r="AJ20" i="2"/>
  <c r="AH20" i="2"/>
  <c r="AG20" i="2"/>
  <c r="AE20" i="2"/>
  <c r="AD20" i="2"/>
  <c r="AB20" i="2"/>
  <c r="AA20" i="2"/>
  <c r="Y20" i="2"/>
  <c r="X20" i="2"/>
  <c r="V20" i="2"/>
  <c r="U20" i="2"/>
  <c r="S20" i="2"/>
  <c r="R20" i="2"/>
  <c r="P20" i="2"/>
  <c r="O20" i="2"/>
  <c r="AW19" i="2"/>
  <c r="AV19" i="2"/>
  <c r="AT19" i="2"/>
  <c r="AS19" i="2"/>
  <c r="AQ19" i="2"/>
  <c r="AP19" i="2"/>
  <c r="AN19" i="2"/>
  <c r="AM19" i="2"/>
  <c r="AK19" i="2"/>
  <c r="AJ19" i="2"/>
  <c r="AH19" i="2"/>
  <c r="AG19" i="2"/>
  <c r="AE19" i="2"/>
  <c r="AD19" i="2"/>
  <c r="AB19" i="2"/>
  <c r="AA19" i="2"/>
  <c r="Y19" i="2"/>
  <c r="X19" i="2"/>
  <c r="V19" i="2"/>
  <c r="U19" i="2"/>
  <c r="S19" i="2"/>
  <c r="R19" i="2"/>
  <c r="P19" i="2"/>
  <c r="O19" i="2"/>
  <c r="AW18" i="2"/>
  <c r="AV18" i="2"/>
  <c r="AT18" i="2"/>
  <c r="AS18" i="2"/>
  <c r="AQ18" i="2"/>
  <c r="AP18" i="2"/>
  <c r="AN18" i="2"/>
  <c r="AM18" i="2"/>
  <c r="AK18" i="2"/>
  <c r="AJ18" i="2"/>
  <c r="AH18" i="2"/>
  <c r="AG18" i="2"/>
  <c r="AE18" i="2"/>
  <c r="AD18" i="2"/>
  <c r="AB18" i="2"/>
  <c r="AA18" i="2"/>
  <c r="Y18" i="2"/>
  <c r="X18" i="2"/>
  <c r="V18" i="2"/>
  <c r="U18" i="2"/>
  <c r="S18" i="2"/>
  <c r="R18" i="2"/>
  <c r="P18" i="2"/>
  <c r="O18" i="2"/>
  <c r="AW28" i="2"/>
  <c r="AV28" i="2"/>
  <c r="AT28" i="2"/>
  <c r="AS28" i="2"/>
  <c r="AQ28" i="2"/>
  <c r="AP28" i="2"/>
  <c r="AN28" i="2"/>
  <c r="AM28" i="2"/>
  <c r="AK28" i="2"/>
  <c r="AJ28" i="2"/>
  <c r="AH28" i="2"/>
  <c r="AG28" i="2"/>
  <c r="AE28" i="2"/>
  <c r="AD28" i="2"/>
  <c r="AB28" i="2"/>
  <c r="AA28" i="2"/>
  <c r="Y28" i="2"/>
  <c r="X28" i="2"/>
  <c r="V28" i="2"/>
  <c r="U28" i="2"/>
  <c r="S28" i="2"/>
  <c r="R28" i="2"/>
  <c r="P28" i="2"/>
  <c r="O28" i="2"/>
  <c r="AW17" i="2"/>
  <c r="AV17" i="2"/>
  <c r="AT17" i="2"/>
  <c r="AS17" i="2"/>
  <c r="AQ17" i="2"/>
  <c r="AP17" i="2"/>
  <c r="AN17" i="2"/>
  <c r="AM17" i="2"/>
  <c r="AK17" i="2"/>
  <c r="AJ17" i="2"/>
  <c r="AH17" i="2"/>
  <c r="AG17" i="2"/>
  <c r="AE17" i="2"/>
  <c r="AD17" i="2"/>
  <c r="AB17" i="2"/>
  <c r="AA17" i="2"/>
  <c r="Y17" i="2"/>
  <c r="X17" i="2"/>
  <c r="V17" i="2"/>
  <c r="U17" i="2"/>
  <c r="S17" i="2"/>
  <c r="R17" i="2"/>
  <c r="P17" i="2"/>
  <c r="O17" i="2"/>
  <c r="AW16" i="2"/>
  <c r="AV16" i="2"/>
  <c r="AT16" i="2"/>
  <c r="AS16" i="2"/>
  <c r="AQ16" i="2"/>
  <c r="AP16" i="2"/>
  <c r="AN16" i="2"/>
  <c r="AM16" i="2"/>
  <c r="AK16" i="2"/>
  <c r="AJ16" i="2"/>
  <c r="AH16" i="2"/>
  <c r="AG16" i="2"/>
  <c r="AE16" i="2"/>
  <c r="AD16" i="2"/>
  <c r="AB16" i="2"/>
  <c r="AA16" i="2"/>
  <c r="Y16" i="2"/>
  <c r="X16" i="2"/>
  <c r="V16" i="2"/>
  <c r="U16" i="2"/>
  <c r="S16" i="2"/>
  <c r="R16" i="2"/>
  <c r="P16" i="2"/>
  <c r="O16" i="2"/>
  <c r="AW25" i="2"/>
  <c r="AV25" i="2"/>
  <c r="AT25" i="2"/>
  <c r="AS25" i="2"/>
  <c r="AQ25" i="2"/>
  <c r="AP25" i="2"/>
  <c r="AN25" i="2"/>
  <c r="AM25" i="2"/>
  <c r="AK25" i="2"/>
  <c r="AJ25" i="2"/>
  <c r="AH25" i="2"/>
  <c r="AG25" i="2"/>
  <c r="AE25" i="2"/>
  <c r="AD25" i="2"/>
  <c r="AB25" i="2"/>
  <c r="AA25" i="2"/>
  <c r="Y25" i="2"/>
  <c r="X25" i="2"/>
  <c r="V25" i="2"/>
  <c r="U25" i="2"/>
  <c r="S25" i="2"/>
  <c r="R25" i="2"/>
  <c r="P25" i="2"/>
  <c r="O25" i="2"/>
  <c r="AW15" i="2"/>
  <c r="AV15" i="2"/>
  <c r="AT15" i="2"/>
  <c r="AS15" i="2"/>
  <c r="AQ15" i="2"/>
  <c r="AP15" i="2"/>
  <c r="AN15" i="2"/>
  <c r="AM15" i="2"/>
  <c r="AK15" i="2"/>
  <c r="AJ15" i="2"/>
  <c r="AH15" i="2"/>
  <c r="AG15" i="2"/>
  <c r="AE15" i="2"/>
  <c r="AD15" i="2"/>
  <c r="AB15" i="2"/>
  <c r="AA15" i="2"/>
  <c r="Y15" i="2"/>
  <c r="X15" i="2"/>
  <c r="V15" i="2"/>
  <c r="U15" i="2"/>
  <c r="S15" i="2"/>
  <c r="R15" i="2"/>
  <c r="P15" i="2"/>
  <c r="O15" i="2"/>
  <c r="AW14" i="2"/>
  <c r="AV14" i="2"/>
  <c r="AT14" i="2"/>
  <c r="AS14" i="2"/>
  <c r="AQ14" i="2"/>
  <c r="AP14" i="2"/>
  <c r="AN14" i="2"/>
  <c r="AM14" i="2"/>
  <c r="AK14" i="2"/>
  <c r="AJ14" i="2"/>
  <c r="AH14" i="2"/>
  <c r="AG14" i="2"/>
  <c r="AE14" i="2"/>
  <c r="AD14" i="2"/>
  <c r="AB14" i="2"/>
  <c r="AA14" i="2"/>
  <c r="Y14" i="2"/>
  <c r="X14" i="2"/>
  <c r="V14" i="2"/>
  <c r="U14" i="2"/>
  <c r="S14" i="2"/>
  <c r="R14" i="2"/>
  <c r="P14" i="2"/>
  <c r="O14" i="2"/>
  <c r="AW13" i="2"/>
  <c r="AV13" i="2"/>
  <c r="AT13" i="2"/>
  <c r="AS13" i="2"/>
  <c r="AQ13" i="2"/>
  <c r="AP13" i="2"/>
  <c r="AN13" i="2"/>
  <c r="AM13" i="2"/>
  <c r="AK13" i="2"/>
  <c r="AJ13" i="2"/>
  <c r="AH13" i="2"/>
  <c r="AG13" i="2"/>
  <c r="AE13" i="2"/>
  <c r="AD13" i="2"/>
  <c r="AB13" i="2"/>
  <c r="AA13" i="2"/>
  <c r="Y13" i="2"/>
  <c r="X13" i="2"/>
  <c r="V13" i="2"/>
  <c r="U13" i="2"/>
  <c r="S13" i="2"/>
  <c r="R13" i="2"/>
  <c r="P13" i="2"/>
  <c r="O13" i="2"/>
  <c r="AW12" i="2"/>
  <c r="AV12" i="2"/>
  <c r="AT12" i="2"/>
  <c r="AS12" i="2"/>
  <c r="AQ12" i="2"/>
  <c r="AP12" i="2"/>
  <c r="AN12" i="2"/>
  <c r="AM12" i="2"/>
  <c r="AK12" i="2"/>
  <c r="AJ12" i="2"/>
  <c r="AH12" i="2"/>
  <c r="AG12" i="2"/>
  <c r="AE12" i="2"/>
  <c r="AD12" i="2"/>
  <c r="AB12" i="2"/>
  <c r="AA12" i="2"/>
  <c r="Y12" i="2"/>
  <c r="X12" i="2"/>
  <c r="V12" i="2"/>
  <c r="U12" i="2"/>
  <c r="S12" i="2"/>
  <c r="R12" i="2"/>
  <c r="P12" i="2"/>
  <c r="O12" i="2"/>
  <c r="AW11" i="2"/>
  <c r="AV11" i="2"/>
  <c r="AT11" i="2"/>
  <c r="AS11" i="2"/>
  <c r="AQ11" i="2"/>
  <c r="AP11" i="2"/>
  <c r="AN11" i="2"/>
  <c r="AM11" i="2"/>
  <c r="AK11" i="2"/>
  <c r="AJ11" i="2"/>
  <c r="AH11" i="2"/>
  <c r="AG11" i="2"/>
  <c r="AE11" i="2"/>
  <c r="AD11" i="2"/>
  <c r="AB11" i="2"/>
  <c r="AA11" i="2"/>
  <c r="Y11" i="2"/>
  <c r="X11" i="2"/>
  <c r="V11" i="2"/>
  <c r="U11" i="2"/>
  <c r="S11" i="2"/>
  <c r="R11" i="2"/>
  <c r="P11" i="2"/>
  <c r="O11" i="2"/>
  <c r="AW10" i="2"/>
  <c r="AV10" i="2"/>
  <c r="AT10" i="2"/>
  <c r="AS10" i="2"/>
  <c r="AQ10" i="2"/>
  <c r="AP10" i="2"/>
  <c r="AN10" i="2"/>
  <c r="AM10" i="2"/>
  <c r="AK10" i="2"/>
  <c r="AJ10" i="2"/>
  <c r="AH10" i="2"/>
  <c r="AG10" i="2"/>
  <c r="AE10" i="2"/>
  <c r="AD10" i="2"/>
  <c r="AB10" i="2"/>
  <c r="AA10" i="2"/>
  <c r="Y10" i="2"/>
  <c r="X10" i="2"/>
  <c r="V10" i="2"/>
  <c r="U10" i="2"/>
  <c r="S10" i="2"/>
  <c r="R10" i="2"/>
  <c r="P10" i="2"/>
  <c r="O10" i="2"/>
  <c r="AW9" i="2"/>
  <c r="AV9" i="2"/>
  <c r="AT9" i="2"/>
  <c r="AS9" i="2"/>
  <c r="AQ9" i="2"/>
  <c r="AP9" i="2"/>
  <c r="AN9" i="2"/>
  <c r="AM9" i="2"/>
  <c r="AK9" i="2"/>
  <c r="AJ9" i="2"/>
  <c r="AH9" i="2"/>
  <c r="AG9" i="2"/>
  <c r="AE9" i="2"/>
  <c r="AD9" i="2"/>
  <c r="AB9" i="2"/>
  <c r="AA9" i="2"/>
  <c r="Y9" i="2"/>
  <c r="X9" i="2"/>
  <c r="V9" i="2"/>
  <c r="U9" i="2"/>
  <c r="S9" i="2"/>
  <c r="R9" i="2"/>
  <c r="P9" i="2"/>
  <c r="O9" i="2"/>
  <c r="AW8" i="2"/>
  <c r="AV8" i="2"/>
  <c r="AT8" i="2"/>
  <c r="AS8" i="2"/>
  <c r="AQ8" i="2"/>
  <c r="AP8" i="2"/>
  <c r="AN8" i="2"/>
  <c r="AM8" i="2"/>
  <c r="AK8" i="2"/>
  <c r="AJ8" i="2"/>
  <c r="AH8" i="2"/>
  <c r="AG8" i="2"/>
  <c r="AE8" i="2"/>
  <c r="AD8" i="2"/>
  <c r="AB8" i="2"/>
  <c r="AA8" i="2"/>
  <c r="Y8" i="2"/>
  <c r="X8" i="2"/>
  <c r="V8" i="2"/>
  <c r="U8" i="2"/>
  <c r="S8" i="2"/>
  <c r="R8" i="2"/>
  <c r="P8" i="2"/>
  <c r="O8" i="2"/>
  <c r="AW7" i="2"/>
  <c r="AV7" i="2"/>
  <c r="AT7" i="2"/>
  <c r="AS7" i="2"/>
  <c r="AQ7" i="2"/>
  <c r="AP7" i="2"/>
  <c r="AN7" i="2"/>
  <c r="AM7" i="2"/>
  <c r="AK7" i="2"/>
  <c r="AJ7" i="2"/>
  <c r="AH7" i="2"/>
  <c r="AG7" i="2"/>
  <c r="AE7" i="2"/>
  <c r="AD7" i="2"/>
  <c r="AB7" i="2"/>
  <c r="AA7" i="2"/>
  <c r="Y7" i="2"/>
  <c r="X7" i="2"/>
  <c r="V7" i="2"/>
  <c r="U7" i="2"/>
  <c r="S7" i="2"/>
  <c r="R7" i="2"/>
  <c r="P7" i="2"/>
  <c r="O7" i="2"/>
  <c r="AW6" i="2"/>
  <c r="AV6" i="2"/>
  <c r="AT6" i="2"/>
  <c r="AS6" i="2"/>
  <c r="AQ6" i="2"/>
  <c r="AP6" i="2"/>
  <c r="AN6" i="2"/>
  <c r="AM6" i="2"/>
  <c r="AK6" i="2"/>
  <c r="AJ6" i="2"/>
  <c r="AH6" i="2"/>
  <c r="AG6" i="2"/>
  <c r="AE6" i="2"/>
  <c r="AD6" i="2"/>
  <c r="AB6" i="2"/>
  <c r="AA6" i="2"/>
  <c r="Y6" i="2"/>
  <c r="X6" i="2"/>
  <c r="V6" i="2"/>
  <c r="U6" i="2"/>
  <c r="S6" i="2"/>
  <c r="R6" i="2"/>
  <c r="P6" i="2"/>
  <c r="O6" i="2"/>
  <c r="AW5" i="2"/>
  <c r="AV5" i="2"/>
  <c r="AT5" i="2"/>
  <c r="AS5" i="2"/>
  <c r="AQ5" i="2"/>
  <c r="AP5" i="2"/>
  <c r="AN5" i="2"/>
  <c r="AM5" i="2"/>
  <c r="AK5" i="2"/>
  <c r="AJ5" i="2"/>
  <c r="AH5" i="2"/>
  <c r="AG5" i="2"/>
  <c r="AE5" i="2"/>
  <c r="AD5" i="2"/>
  <c r="AB5" i="2"/>
  <c r="AA5" i="2"/>
  <c r="Y5" i="2"/>
  <c r="X5" i="2"/>
  <c r="V5" i="2"/>
  <c r="U5" i="2"/>
  <c r="S5" i="2"/>
  <c r="R5" i="2"/>
  <c r="P5" i="2"/>
  <c r="O5" i="2"/>
  <c r="AW4" i="2"/>
  <c r="AV4" i="2"/>
  <c r="AT4" i="2"/>
  <c r="AS4" i="2"/>
  <c r="AQ4" i="2"/>
  <c r="AP4" i="2"/>
  <c r="AN4" i="2"/>
  <c r="AM4" i="2"/>
  <c r="AK4" i="2"/>
  <c r="AJ4" i="2"/>
  <c r="AH4" i="2"/>
  <c r="AG4" i="2"/>
  <c r="AE4" i="2"/>
  <c r="AD4" i="2"/>
  <c r="AB4" i="2"/>
  <c r="AA4" i="2"/>
  <c r="Y4" i="2"/>
  <c r="X4" i="2"/>
  <c r="V4" i="2"/>
  <c r="U4" i="2"/>
  <c r="S4" i="2"/>
  <c r="R4" i="2"/>
  <c r="P4" i="2"/>
  <c r="O4" i="2"/>
  <c r="AW24" i="2"/>
  <c r="AV24" i="2"/>
  <c r="AT24" i="2"/>
  <c r="AS24" i="2"/>
  <c r="AQ24" i="2"/>
  <c r="AP24" i="2"/>
  <c r="AN24" i="2"/>
  <c r="AM24" i="2"/>
  <c r="AK24" i="2"/>
  <c r="AJ24" i="2"/>
  <c r="AH24" i="2"/>
  <c r="AG24" i="2"/>
  <c r="AE24" i="2"/>
  <c r="AD24" i="2"/>
  <c r="AB24" i="2"/>
  <c r="AA24" i="2"/>
  <c r="Y24" i="2"/>
  <c r="X24" i="2"/>
  <c r="V24" i="2"/>
  <c r="U24" i="2"/>
  <c r="S24" i="2"/>
  <c r="R24" i="2"/>
  <c r="P24" i="2"/>
  <c r="O24" i="2"/>
  <c r="AW3" i="2"/>
  <c r="AV3" i="2"/>
  <c r="AT3" i="2"/>
  <c r="AS3" i="2"/>
  <c r="AQ3" i="2"/>
  <c r="AP3" i="2"/>
  <c r="AN3" i="2"/>
  <c r="AM3" i="2"/>
  <c r="AK3" i="2"/>
  <c r="AJ3" i="2"/>
  <c r="AH3" i="2"/>
  <c r="AG3" i="2"/>
  <c r="AE3" i="2"/>
  <c r="AD3" i="2"/>
  <c r="AB3" i="2"/>
  <c r="AA3" i="2"/>
  <c r="Y3" i="2"/>
  <c r="X3" i="2"/>
  <c r="V3" i="2"/>
  <c r="U3" i="2"/>
  <c r="S3" i="2"/>
  <c r="R3" i="2"/>
  <c r="P3" i="2"/>
  <c r="O3" i="2"/>
  <c r="AY25" i="1"/>
  <c r="AX25" i="1"/>
  <c r="AY24" i="1"/>
  <c r="AX24" i="1"/>
  <c r="AY23" i="1"/>
  <c r="AX23" i="1"/>
  <c r="AY22" i="1"/>
  <c r="AX22" i="1"/>
  <c r="AY21" i="1"/>
  <c r="AX21" i="1"/>
  <c r="AY20" i="1"/>
  <c r="AX20" i="1"/>
  <c r="AY19" i="1"/>
  <c r="AX19" i="1"/>
  <c r="AY18" i="1"/>
  <c r="AX18" i="1"/>
  <c r="AY17" i="1"/>
  <c r="AX17" i="1"/>
  <c r="AY16" i="1"/>
  <c r="AX16" i="1"/>
  <c r="AY15" i="1"/>
  <c r="AX15" i="1"/>
  <c r="AY14" i="1"/>
  <c r="AX14" i="1"/>
  <c r="AY13" i="1"/>
  <c r="AX13" i="1"/>
  <c r="AY12" i="1"/>
  <c r="AX12" i="1"/>
  <c r="AY11" i="1"/>
  <c r="AX11" i="1"/>
  <c r="AY10" i="1"/>
  <c r="AX10" i="1"/>
  <c r="AY9" i="1"/>
  <c r="AX9" i="1"/>
  <c r="AY8" i="1"/>
  <c r="AX8" i="1"/>
  <c r="AY7" i="1"/>
  <c r="AX7" i="1"/>
  <c r="AY6" i="1"/>
  <c r="AX6" i="1"/>
  <c r="AY5" i="1"/>
  <c r="AX5" i="1"/>
  <c r="AY4" i="1"/>
  <c r="AX4" i="1"/>
  <c r="AV25" i="1"/>
  <c r="AU25" i="1"/>
  <c r="AV24" i="1"/>
  <c r="AU24" i="1"/>
  <c r="AV23" i="1"/>
  <c r="AU23" i="1"/>
  <c r="AV22" i="1"/>
  <c r="AU22" i="1"/>
  <c r="AV21" i="1"/>
  <c r="AU21" i="1"/>
  <c r="AV20" i="1"/>
  <c r="AU20" i="1"/>
  <c r="AV19" i="1"/>
  <c r="AU19" i="1"/>
  <c r="AV18" i="1"/>
  <c r="AU18" i="1"/>
  <c r="AV17" i="1"/>
  <c r="AU17" i="1"/>
  <c r="AV16" i="1"/>
  <c r="AU16" i="1"/>
  <c r="AV15" i="1"/>
  <c r="AU15" i="1"/>
  <c r="AV14" i="1"/>
  <c r="AU14" i="1"/>
  <c r="AV13" i="1"/>
  <c r="AU13" i="1"/>
  <c r="AV12" i="1"/>
  <c r="AU12" i="1"/>
  <c r="AV11" i="1"/>
  <c r="AU11" i="1"/>
  <c r="AV10" i="1"/>
  <c r="AU10" i="1"/>
  <c r="AV9" i="1"/>
  <c r="AU9" i="1"/>
  <c r="AV8" i="1"/>
  <c r="AU8" i="1"/>
  <c r="AV7" i="1"/>
  <c r="AU7" i="1"/>
  <c r="AV6" i="1"/>
  <c r="AU6" i="1"/>
  <c r="AV5" i="1"/>
  <c r="AU5" i="1"/>
  <c r="AV4" i="1"/>
  <c r="AU4" i="1"/>
  <c r="AS25" i="1"/>
  <c r="AR25" i="1"/>
  <c r="AS24" i="1"/>
  <c r="AR24" i="1"/>
  <c r="AS23" i="1"/>
  <c r="AR23" i="1"/>
  <c r="AS22" i="1"/>
  <c r="AR22" i="1"/>
  <c r="AS21" i="1"/>
  <c r="AR21" i="1"/>
  <c r="AS20" i="1"/>
  <c r="AR20" i="1"/>
  <c r="AS19" i="1"/>
  <c r="AR19" i="1"/>
  <c r="AS18" i="1"/>
  <c r="AR18" i="1"/>
  <c r="AS17" i="1"/>
  <c r="AR17" i="1"/>
  <c r="AS16" i="1"/>
  <c r="AR16" i="1"/>
  <c r="AS15" i="1"/>
  <c r="AR15" i="1"/>
  <c r="AS14" i="1"/>
  <c r="AR14" i="1"/>
  <c r="AS13" i="1"/>
  <c r="AR13" i="1"/>
  <c r="AS12" i="1"/>
  <c r="AR12" i="1"/>
  <c r="AS11" i="1"/>
  <c r="AR11" i="1"/>
  <c r="AS10" i="1"/>
  <c r="AR10" i="1"/>
  <c r="AS9" i="1"/>
  <c r="AR9" i="1"/>
  <c r="AS8" i="1"/>
  <c r="AR8" i="1"/>
  <c r="AS7" i="1"/>
  <c r="AR7" i="1"/>
  <c r="AS6" i="1"/>
  <c r="AR6" i="1"/>
  <c r="AS5" i="1"/>
  <c r="AR5" i="1"/>
  <c r="AS4" i="1"/>
  <c r="AR4" i="1"/>
  <c r="AP25" i="1"/>
  <c r="AO25" i="1"/>
  <c r="AP24" i="1"/>
  <c r="AO24" i="1"/>
  <c r="AP23" i="1"/>
  <c r="AO23" i="1"/>
  <c r="AP22" i="1"/>
  <c r="AO22" i="1"/>
  <c r="AP21" i="1"/>
  <c r="AO21" i="1"/>
  <c r="AP20" i="1"/>
  <c r="AO20" i="1"/>
  <c r="AP19" i="1"/>
  <c r="AO19" i="1"/>
  <c r="AP18" i="1"/>
  <c r="AO18" i="1"/>
  <c r="AP17" i="1"/>
  <c r="AO17" i="1"/>
  <c r="AP16" i="1"/>
  <c r="AO16" i="1"/>
  <c r="AP15" i="1"/>
  <c r="AO15" i="1"/>
  <c r="AP14" i="1"/>
  <c r="AO14" i="1"/>
  <c r="AP13" i="1"/>
  <c r="AO13" i="1"/>
  <c r="AP12" i="1"/>
  <c r="AO12" i="1"/>
  <c r="AP11" i="1"/>
  <c r="AO11" i="1"/>
  <c r="AP10" i="1"/>
  <c r="AO10" i="1"/>
  <c r="AP9" i="1"/>
  <c r="AO9" i="1"/>
  <c r="AP8" i="1"/>
  <c r="AO8" i="1"/>
  <c r="AP7" i="1"/>
  <c r="AO7" i="1"/>
  <c r="AP6" i="1"/>
  <c r="AO6" i="1"/>
  <c r="AP5" i="1"/>
  <c r="AO5" i="1"/>
  <c r="AP4" i="1"/>
  <c r="AO4" i="1"/>
  <c r="AM25" i="1"/>
  <c r="AL25" i="1"/>
  <c r="AM24" i="1"/>
  <c r="AL24" i="1"/>
  <c r="AM23" i="1"/>
  <c r="AL23" i="1"/>
  <c r="AM22" i="1"/>
  <c r="AL22" i="1"/>
  <c r="AM21" i="1"/>
  <c r="AL21" i="1"/>
  <c r="AM20" i="1"/>
  <c r="AL20" i="1"/>
  <c r="AM19" i="1"/>
  <c r="AL19" i="1"/>
  <c r="AM18" i="1"/>
  <c r="AL18" i="1"/>
  <c r="AM17" i="1"/>
  <c r="AL17" i="1"/>
  <c r="AM16" i="1"/>
  <c r="AL16" i="1"/>
  <c r="AM15" i="1"/>
  <c r="AL15" i="1"/>
  <c r="AM14" i="1"/>
  <c r="AL14" i="1"/>
  <c r="AM13" i="1"/>
  <c r="AL13" i="1"/>
  <c r="AM12" i="1"/>
  <c r="AL12" i="1"/>
  <c r="AM11" i="1"/>
  <c r="AL11" i="1"/>
  <c r="AM10" i="1"/>
  <c r="AL10" i="1"/>
  <c r="AM9" i="1"/>
  <c r="AL9" i="1"/>
  <c r="AM8" i="1"/>
  <c r="AL8" i="1"/>
  <c r="AM7" i="1"/>
  <c r="AL7" i="1"/>
  <c r="AM6" i="1"/>
  <c r="AL6" i="1"/>
  <c r="AM5" i="1"/>
  <c r="AL5" i="1"/>
  <c r="AM4" i="1"/>
  <c r="AL4" i="1"/>
  <c r="AJ25" i="1"/>
  <c r="AI25" i="1"/>
  <c r="AJ24" i="1"/>
  <c r="AI24" i="1"/>
  <c r="AJ23" i="1"/>
  <c r="AI23" i="1"/>
  <c r="AJ22" i="1"/>
  <c r="AI22" i="1"/>
  <c r="AJ21" i="1"/>
  <c r="AI21" i="1"/>
  <c r="AJ20" i="1"/>
  <c r="AI20" i="1"/>
  <c r="AJ19" i="1"/>
  <c r="AI19" i="1"/>
  <c r="AJ18" i="1"/>
  <c r="AI18" i="1"/>
  <c r="AJ17" i="1"/>
  <c r="AI17" i="1"/>
  <c r="AJ16" i="1"/>
  <c r="AI16" i="1"/>
  <c r="AJ15" i="1"/>
  <c r="AI15" i="1"/>
  <c r="AJ14" i="1"/>
  <c r="AI14" i="1"/>
  <c r="AJ13" i="1"/>
  <c r="AI13" i="1"/>
  <c r="AJ12" i="1"/>
  <c r="AI12" i="1"/>
  <c r="AJ11" i="1"/>
  <c r="AI11" i="1"/>
  <c r="AJ10" i="1"/>
  <c r="AI10" i="1"/>
  <c r="AJ9" i="1"/>
  <c r="AI9" i="1"/>
  <c r="AJ8" i="1"/>
  <c r="AI8" i="1"/>
  <c r="AJ7" i="1"/>
  <c r="AI7" i="1"/>
  <c r="AJ6" i="1"/>
  <c r="AI6" i="1"/>
  <c r="AJ5" i="1"/>
  <c r="AI5" i="1"/>
  <c r="AJ4" i="1"/>
  <c r="AI4" i="1"/>
  <c r="AG25" i="1"/>
  <c r="AF25" i="1"/>
  <c r="AG24" i="1"/>
  <c r="AF24" i="1"/>
  <c r="AG23" i="1"/>
  <c r="AF23" i="1"/>
  <c r="AG22" i="1"/>
  <c r="AF22" i="1"/>
  <c r="AG21" i="1"/>
  <c r="AF21" i="1"/>
  <c r="AG20" i="1"/>
  <c r="AF20" i="1"/>
  <c r="AG19" i="1"/>
  <c r="AF19" i="1"/>
  <c r="AG18" i="1"/>
  <c r="AF18" i="1"/>
  <c r="AG17" i="1"/>
  <c r="AF17" i="1"/>
  <c r="AG16" i="1"/>
  <c r="AF16" i="1"/>
  <c r="AG15" i="1"/>
  <c r="AF15" i="1"/>
  <c r="AG14" i="1"/>
  <c r="AF14" i="1"/>
  <c r="AG13" i="1"/>
  <c r="AF13" i="1"/>
  <c r="AG12" i="1"/>
  <c r="AF12" i="1"/>
  <c r="AG11" i="1"/>
  <c r="AF11" i="1"/>
  <c r="AG10" i="1"/>
  <c r="AF10" i="1"/>
  <c r="AG9" i="1"/>
  <c r="AF9" i="1"/>
  <c r="AG8" i="1"/>
  <c r="AF8" i="1"/>
  <c r="AG7" i="1"/>
  <c r="AF7" i="1"/>
  <c r="AG6" i="1"/>
  <c r="AF6" i="1"/>
  <c r="AG5" i="1"/>
  <c r="AF5" i="1"/>
  <c r="AG4" i="1"/>
  <c r="AF4" i="1"/>
  <c r="AD25" i="1"/>
  <c r="AC25" i="1"/>
  <c r="AD24" i="1"/>
  <c r="AC24" i="1"/>
  <c r="AD23" i="1"/>
  <c r="AC23" i="1"/>
  <c r="AD22" i="1"/>
  <c r="AC22" i="1"/>
  <c r="AD21" i="1"/>
  <c r="AC21" i="1"/>
  <c r="AD20" i="1"/>
  <c r="AC20" i="1"/>
  <c r="AD19" i="1"/>
  <c r="AC19" i="1"/>
  <c r="AD18" i="1"/>
  <c r="AC18" i="1"/>
  <c r="AD17" i="1"/>
  <c r="AC17" i="1"/>
  <c r="AD16" i="1"/>
  <c r="AC16" i="1"/>
  <c r="AD15" i="1"/>
  <c r="AC15" i="1"/>
  <c r="AD14" i="1"/>
  <c r="AC14" i="1"/>
  <c r="AD13" i="1"/>
  <c r="AC13" i="1"/>
  <c r="AD12" i="1"/>
  <c r="AC12" i="1"/>
  <c r="AD11" i="1"/>
  <c r="AC11" i="1"/>
  <c r="AD10" i="1"/>
  <c r="AC10" i="1"/>
  <c r="AD9" i="1"/>
  <c r="AC9" i="1"/>
  <c r="AD8" i="1"/>
  <c r="AC8" i="1"/>
  <c r="AD7" i="1"/>
  <c r="AC7" i="1"/>
  <c r="AD6" i="1"/>
  <c r="AC6" i="1"/>
  <c r="AD5" i="1"/>
  <c r="AC5" i="1"/>
  <c r="AD4" i="1"/>
  <c r="AC4" i="1"/>
  <c r="AA25" i="1"/>
  <c r="Z25" i="1"/>
  <c r="AA24" i="1"/>
  <c r="Z24" i="1"/>
  <c r="AA23" i="1"/>
  <c r="Z23" i="1"/>
  <c r="AA22" i="1"/>
  <c r="Z22" i="1"/>
  <c r="AA21" i="1"/>
  <c r="Z21" i="1"/>
  <c r="AA20" i="1"/>
  <c r="Z20" i="1"/>
  <c r="AA19" i="1"/>
  <c r="Z19" i="1"/>
  <c r="AA18" i="1"/>
  <c r="Z18" i="1"/>
  <c r="AA17" i="1"/>
  <c r="Z17" i="1"/>
  <c r="AA16" i="1"/>
  <c r="Z16" i="1"/>
  <c r="AA15" i="1"/>
  <c r="Z15" i="1"/>
  <c r="AA14" i="1"/>
  <c r="Z14" i="1"/>
  <c r="AA13" i="1"/>
  <c r="Z13" i="1"/>
  <c r="AA12" i="1"/>
  <c r="Z12" i="1"/>
  <c r="AA11" i="1"/>
  <c r="Z11" i="1"/>
  <c r="AA10" i="1"/>
  <c r="Z10" i="1"/>
  <c r="AA9" i="1"/>
  <c r="Z9" i="1"/>
  <c r="AA8" i="1"/>
  <c r="Z8" i="1"/>
  <c r="AA7" i="1"/>
  <c r="Z7" i="1"/>
  <c r="AA6" i="1"/>
  <c r="Z6" i="1"/>
  <c r="AA5" i="1"/>
  <c r="Z5" i="1"/>
  <c r="AA4" i="1"/>
  <c r="Z4" i="1"/>
  <c r="X25" i="1"/>
  <c r="W25" i="1"/>
  <c r="X24" i="1"/>
  <c r="W24" i="1"/>
  <c r="X23" i="1"/>
  <c r="W23" i="1"/>
  <c r="X22" i="1"/>
  <c r="W22" i="1"/>
  <c r="X21" i="1"/>
  <c r="W21" i="1"/>
  <c r="X20" i="1"/>
  <c r="W20" i="1"/>
  <c r="X19" i="1"/>
  <c r="W19" i="1"/>
  <c r="X18" i="1"/>
  <c r="W18" i="1"/>
  <c r="X17" i="1"/>
  <c r="W17" i="1"/>
  <c r="X16" i="1"/>
  <c r="W16" i="1"/>
  <c r="X15" i="1"/>
  <c r="W15" i="1"/>
  <c r="X14" i="1"/>
  <c r="W14" i="1"/>
  <c r="X13" i="1"/>
  <c r="W13" i="1"/>
  <c r="X12" i="1"/>
  <c r="W12" i="1"/>
  <c r="X11" i="1"/>
  <c r="W11" i="1"/>
  <c r="X10" i="1"/>
  <c r="W10" i="1"/>
  <c r="X9" i="1"/>
  <c r="W9" i="1"/>
  <c r="X8" i="1"/>
  <c r="W8" i="1"/>
  <c r="X7" i="1"/>
  <c r="W7" i="1"/>
  <c r="X6" i="1"/>
  <c r="W6" i="1"/>
  <c r="X5" i="1"/>
  <c r="W5" i="1"/>
  <c r="X4" i="1"/>
  <c r="W4" i="1"/>
  <c r="U25" i="1"/>
  <c r="T25" i="1"/>
  <c r="U24" i="1"/>
  <c r="T24" i="1"/>
  <c r="U23" i="1"/>
  <c r="T23" i="1"/>
  <c r="U22" i="1"/>
  <c r="T22" i="1"/>
  <c r="U21" i="1"/>
  <c r="T21" i="1"/>
  <c r="U20" i="1"/>
  <c r="T20" i="1"/>
  <c r="U19" i="1"/>
  <c r="T19" i="1"/>
  <c r="U18" i="1"/>
  <c r="T18" i="1"/>
  <c r="U17" i="1"/>
  <c r="T17" i="1"/>
  <c r="U16" i="1"/>
  <c r="T16" i="1"/>
  <c r="U15" i="1"/>
  <c r="T15" i="1"/>
  <c r="U14" i="1"/>
  <c r="T14" i="1"/>
  <c r="U13" i="1"/>
  <c r="T13" i="1"/>
  <c r="U12" i="1"/>
  <c r="T12" i="1"/>
  <c r="U11" i="1"/>
  <c r="T11" i="1"/>
  <c r="U10" i="1"/>
  <c r="T10" i="1"/>
  <c r="U9" i="1"/>
  <c r="T9" i="1"/>
  <c r="U8" i="1"/>
  <c r="T8" i="1"/>
  <c r="U7" i="1"/>
  <c r="T7" i="1"/>
  <c r="U6" i="1"/>
  <c r="T6" i="1"/>
  <c r="U5" i="1"/>
  <c r="T5" i="1"/>
  <c r="U4" i="1"/>
  <c r="T4" i="1"/>
  <c r="Q5" i="1"/>
  <c r="R5" i="1"/>
  <c r="Q6" i="1"/>
  <c r="R6" i="1"/>
  <c r="Q7" i="1"/>
  <c r="R7" i="1"/>
  <c r="Q8" i="1"/>
  <c r="R8" i="1"/>
  <c r="Q9" i="1"/>
  <c r="R9" i="1"/>
  <c r="Q10" i="1"/>
  <c r="R10" i="1"/>
  <c r="Q11" i="1"/>
  <c r="R11" i="1"/>
  <c r="Q12" i="1"/>
  <c r="R12" i="1"/>
  <c r="Q13" i="1"/>
  <c r="R13" i="1"/>
  <c r="Q14" i="1"/>
  <c r="R14" i="1"/>
  <c r="Q15" i="1"/>
  <c r="R15" i="1"/>
  <c r="Q16" i="1"/>
  <c r="R16" i="1"/>
  <c r="Q17" i="1"/>
  <c r="R17" i="1"/>
  <c r="Q18" i="1"/>
  <c r="R18" i="1"/>
  <c r="Q19" i="1"/>
  <c r="R19" i="1"/>
  <c r="Q20" i="1"/>
  <c r="R20" i="1"/>
  <c r="Q21" i="1"/>
  <c r="R21" i="1"/>
  <c r="Q22" i="1"/>
  <c r="R22" i="1"/>
  <c r="Q23" i="1"/>
  <c r="R23" i="1"/>
  <c r="Q24" i="1"/>
  <c r="R24" i="1"/>
  <c r="Q25" i="1"/>
  <c r="R25" i="1"/>
  <c r="R4" i="1"/>
  <c r="BC4" i="1" s="1"/>
  <c r="Q4" i="1"/>
  <c r="BC27" i="1" l="1"/>
  <c r="BB20" i="1"/>
  <c r="BB16" i="1"/>
  <c r="BB12" i="1"/>
  <c r="BB24" i="1"/>
  <c r="BC25" i="1"/>
  <c r="BC21" i="1"/>
  <c r="BC17" i="1"/>
  <c r="BC13" i="1"/>
  <c r="BC9" i="1"/>
  <c r="BC5" i="1"/>
  <c r="BC26" i="1"/>
  <c r="BB28" i="1"/>
  <c r="BB29" i="1"/>
  <c r="BB30" i="1"/>
  <c r="BB31" i="1"/>
  <c r="BC7" i="1"/>
  <c r="BC23" i="1"/>
  <c r="BC11" i="1"/>
  <c r="BC15" i="1"/>
  <c r="BC19" i="1"/>
  <c r="BB26" i="1"/>
  <c r="BB27" i="1"/>
  <c r="BB19" i="1"/>
  <c r="BC22" i="1"/>
  <c r="BC18" i="1"/>
  <c r="BC14" i="1"/>
  <c r="BC10" i="1"/>
  <c r="BC6" i="1"/>
  <c r="BB32" i="1"/>
  <c r="BB25" i="1"/>
  <c r="BB21" i="1"/>
  <c r="BB17" i="1"/>
  <c r="BB13" i="1"/>
  <c r="BB9" i="1"/>
  <c r="BB5" i="1"/>
  <c r="BC28" i="1"/>
  <c r="BC29" i="1"/>
  <c r="BC30" i="1"/>
  <c r="BC31" i="1"/>
  <c r="BC32" i="1"/>
  <c r="BC24" i="1"/>
  <c r="BC12" i="1"/>
  <c r="BC8" i="1"/>
  <c r="BC20" i="1"/>
  <c r="BB8" i="1"/>
  <c r="BC16" i="1"/>
  <c r="BB23" i="1"/>
  <c r="BB15" i="1"/>
  <c r="BB11" i="1"/>
  <c r="BB7" i="1"/>
  <c r="Q25" i="3"/>
  <c r="BB25" i="3" s="1"/>
  <c r="R25" i="3"/>
  <c r="BC25" i="3" s="1"/>
  <c r="BB22" i="1"/>
  <c r="BB14" i="1"/>
  <c r="BB10" i="1"/>
  <c r="BB6" i="1"/>
  <c r="BB18" i="1"/>
  <c r="BB4" i="1"/>
  <c r="AZ5" i="2"/>
  <c r="AZ9" i="2"/>
  <c r="AZ13" i="2"/>
  <c r="AZ16" i="2"/>
  <c r="AZ17" i="2"/>
  <c r="AZ28" i="2"/>
  <c r="AZ18" i="2"/>
  <c r="AZ19" i="2"/>
  <c r="AZ20" i="2"/>
  <c r="BA14" i="2"/>
  <c r="BA15" i="2"/>
  <c r="BA25" i="2"/>
  <c r="BA16" i="2"/>
  <c r="BA28" i="2"/>
  <c r="BA18" i="2"/>
  <c r="BA21" i="2"/>
  <c r="AZ21" i="2"/>
  <c r="BA20" i="2"/>
  <c r="BA19" i="2"/>
  <c r="BA17" i="2"/>
  <c r="AZ24" i="2"/>
  <c r="AZ4" i="2"/>
  <c r="BA24" i="2"/>
  <c r="BA4" i="2"/>
  <c r="BA5" i="2"/>
  <c r="AZ6" i="2"/>
  <c r="AZ7" i="2"/>
  <c r="AZ8" i="2"/>
  <c r="BA6" i="2"/>
  <c r="BA7" i="2"/>
  <c r="BA8" i="2"/>
  <c r="BA9" i="2"/>
  <c r="AZ10" i="2"/>
  <c r="AZ11" i="2"/>
  <c r="AZ12" i="2"/>
  <c r="BA10" i="2"/>
  <c r="BA11" i="2"/>
  <c r="BA12" i="2"/>
  <c r="BA13" i="2"/>
  <c r="AZ14" i="2"/>
  <c r="AZ15" i="2"/>
  <c r="AZ25" i="2"/>
  <c r="AZ3" i="2"/>
  <c r="BA3" i="2"/>
</calcChain>
</file>

<file path=xl/sharedStrings.xml><?xml version="1.0" encoding="utf-8"?>
<sst xmlns="http://schemas.openxmlformats.org/spreadsheetml/2006/main" count="1651" uniqueCount="157">
  <si>
    <t>HC版本号：KLFMBGT20260325135910</t>
  </si>
  <si>
    <t>品牌</t>
  </si>
  <si>
    <t>财年</t>
  </si>
  <si>
    <t>城市</t>
  </si>
  <si>
    <t>门店名称</t>
  </si>
  <si>
    <t>是否关键门店</t>
  </si>
  <si>
    <t>DoorCode</t>
  </si>
  <si>
    <t>CostCode</t>
  </si>
  <si>
    <t>岗位类型</t>
  </si>
  <si>
    <t>财务编码</t>
  </si>
  <si>
    <t>柜台状态</t>
  </si>
  <si>
    <t>DoorConcept</t>
  </si>
  <si>
    <t>DoorType</t>
  </si>
  <si>
    <t>Tier</t>
  </si>
  <si>
    <t>是否柜台</t>
  </si>
  <si>
    <t>7月薪资</t>
  </si>
  <si>
    <t>7月福利</t>
  </si>
  <si>
    <t>7月HC</t>
  </si>
  <si>
    <t>8月薪资</t>
  </si>
  <si>
    <t>8月福利</t>
  </si>
  <si>
    <t>8月HC</t>
  </si>
  <si>
    <t>9月薪资</t>
  </si>
  <si>
    <t>9月福利</t>
  </si>
  <si>
    <t>9月HC</t>
  </si>
  <si>
    <t>10月薪资</t>
  </si>
  <si>
    <t>10月福利</t>
  </si>
  <si>
    <t>10月HC</t>
  </si>
  <si>
    <t>11月薪资</t>
  </si>
  <si>
    <t>11月福利</t>
  </si>
  <si>
    <t>11月HC</t>
  </si>
  <si>
    <t>12月薪资</t>
  </si>
  <si>
    <t>12月福利</t>
  </si>
  <si>
    <t>12月HC</t>
  </si>
  <si>
    <t>1月薪资</t>
  </si>
  <si>
    <t>1月福利</t>
  </si>
  <si>
    <t>1月HC</t>
  </si>
  <si>
    <t>2月薪资</t>
  </si>
  <si>
    <t>2月福利</t>
  </si>
  <si>
    <t>2月HC</t>
  </si>
  <si>
    <t>3月薪资</t>
  </si>
  <si>
    <t>3月福利</t>
  </si>
  <si>
    <t>3月HC</t>
  </si>
  <si>
    <t>4月薪资</t>
  </si>
  <si>
    <t>4月福利</t>
  </si>
  <si>
    <t>4月HC</t>
  </si>
  <si>
    <t>5月薪资</t>
  </si>
  <si>
    <t>5月福利</t>
  </si>
  <si>
    <t>5月HC</t>
  </si>
  <si>
    <t>6月薪资</t>
  </si>
  <si>
    <t>6月福利</t>
  </si>
  <si>
    <t>6月HC</t>
  </si>
  <si>
    <t>特殊调整</t>
  </si>
  <si>
    <t>薪资合计</t>
  </si>
  <si>
    <t>福利合计</t>
  </si>
  <si>
    <t>HC平均值</t>
  </si>
  <si>
    <t>FM</t>
  </si>
  <si>
    <t>FY2027</t>
  </si>
  <si>
    <t>上海</t>
  </si>
  <si>
    <t>contingency 柜台</t>
  </si>
  <si>
    <t>KLFMFY2022000014</t>
  </si>
  <si>
    <t>BA</t>
  </si>
  <si>
    <t>Contingency</t>
  </si>
  <si>
    <t>N</t>
  </si>
  <si>
    <t>杭州</t>
  </si>
  <si>
    <t>杭州In77KILIAN</t>
  </si>
  <si>
    <t>KLFMFY2026000005</t>
  </si>
  <si>
    <t>FY26 New Door</t>
  </si>
  <si>
    <t>DS</t>
  </si>
  <si>
    <t>B</t>
  </si>
  <si>
    <t>Y</t>
  </si>
  <si>
    <t>重庆</t>
  </si>
  <si>
    <t>重庆星光68</t>
  </si>
  <si>
    <t>KLFMFY2024000012</t>
  </si>
  <si>
    <t>Existing</t>
  </si>
  <si>
    <t>X</t>
  </si>
  <si>
    <t>深圳</t>
  </si>
  <si>
    <t>深圳湾万象城</t>
  </si>
  <si>
    <t>KLFMFY2027000004</t>
  </si>
  <si>
    <t>FY27 New Door</t>
  </si>
  <si>
    <t>FSS</t>
  </si>
  <si>
    <t>成都</t>
  </si>
  <si>
    <t>成都SKP</t>
  </si>
  <si>
    <t>KLFMFY2023000024</t>
  </si>
  <si>
    <t>武汉</t>
  </si>
  <si>
    <t>武汉SKP</t>
  </si>
  <si>
    <t>KLFMFY2023000023</t>
  </si>
  <si>
    <t>北京</t>
  </si>
  <si>
    <t>北京新光三越</t>
  </si>
  <si>
    <t>KLFMFY2021000002</t>
  </si>
  <si>
    <t>南京</t>
  </si>
  <si>
    <t>南京德基</t>
  </si>
  <si>
    <t>KLFMFY2022000010</t>
  </si>
  <si>
    <t>上海前滩太古里</t>
  </si>
  <si>
    <t>KLFMFY2022000015</t>
  </si>
  <si>
    <t>上海国金中心</t>
  </si>
  <si>
    <t>KLFMFY2020000001</t>
  </si>
  <si>
    <t>成都远洋太古里</t>
  </si>
  <si>
    <t>KLFMFY2023000025</t>
  </si>
  <si>
    <t>北京三里屯</t>
  </si>
  <si>
    <t>KLFMFY2022000016</t>
  </si>
  <si>
    <t>杭州万象城</t>
  </si>
  <si>
    <t>KLFMFY2022000013</t>
  </si>
  <si>
    <t>广州</t>
  </si>
  <si>
    <t>广州天环</t>
  </si>
  <si>
    <t>KLFMFY2027000003</t>
  </si>
  <si>
    <t>苏州</t>
  </si>
  <si>
    <t>苏州中心</t>
  </si>
  <si>
    <t>KLFMFY2026000002</t>
  </si>
  <si>
    <t>广州太古汇</t>
  </si>
  <si>
    <t>KLFMFY2023000022</t>
  </si>
  <si>
    <t>深圳万象天地</t>
  </si>
  <si>
    <t>KLFMFY2022000011</t>
  </si>
  <si>
    <t>杭州In77FM</t>
  </si>
  <si>
    <t>KLFMFY2026000006</t>
  </si>
  <si>
    <t>杭州银泰</t>
  </si>
  <si>
    <t>KLFMFY2021000003</t>
  </si>
  <si>
    <t>宁波</t>
  </si>
  <si>
    <t>宁波阪急-498</t>
  </si>
  <si>
    <t>KLFMFY2023000026</t>
  </si>
  <si>
    <t>郑州</t>
  </si>
  <si>
    <t>郑州大卫城</t>
  </si>
  <si>
    <t>KLFMFY2026000001</t>
  </si>
  <si>
    <t>深圳罗湖万象城</t>
  </si>
  <si>
    <t>KLFMFY2022000012</t>
  </si>
  <si>
    <t>合计：</t>
  </si>
  <si>
    <t>BA 折扣：</t>
  </si>
  <si>
    <t>NonBA 折扣:</t>
  </si>
  <si>
    <r>
      <t>合计：</t>
    </r>
    <r>
      <rPr>
        <sz val="10"/>
        <color rgb="FFFF0000"/>
        <rFont val="Aptos Narrow (Body)"/>
      </rPr>
      <t>（只算这一个字段的合计）</t>
    </r>
  </si>
  <si>
    <t>KL</t>
  </si>
  <si>
    <r>
      <t>HC版本号：KLFMBGT20260325135910（</t>
    </r>
    <r>
      <rPr>
        <b/>
        <sz val="10"/>
        <color rgb="FFFF0000"/>
        <rFont val="Aptos Narrow (Body)"/>
      </rPr>
      <t>系统自动生成的变量</t>
    </r>
    <r>
      <rPr>
        <b/>
        <sz val="10"/>
        <color rgb="FFF7F7F7"/>
        <rFont val="等线"/>
        <family val="2"/>
        <scheme val="minor"/>
      </rPr>
      <t>）</t>
    </r>
  </si>
  <si>
    <r>
      <t>HC版本号：KLFMBGT20260325135910</t>
    </r>
    <r>
      <rPr>
        <b/>
        <sz val="10"/>
        <color rgb="FFFF0000"/>
        <rFont val="Aptos Narrow (Body)"/>
      </rPr>
      <t>（首行留空位放原始表的HC版本号）</t>
    </r>
  </si>
  <si>
    <t>HC版本号：KLFMBGT20260325135910（系统自动生成的变量）</t>
  </si>
  <si>
    <t>KL</t>
    <phoneticPr fontId="25" type="noConversion"/>
  </si>
  <si>
    <t>FM</t>
    <phoneticPr fontId="25" type="noConversion"/>
  </si>
  <si>
    <t>Total:</t>
  </si>
  <si>
    <t>KL Total:</t>
  </si>
  <si>
    <t>FM Total:</t>
  </si>
  <si>
    <t>合计(BA)：</t>
  </si>
  <si>
    <t>合计(NON BA)：</t>
  </si>
  <si>
    <t>预算：</t>
  </si>
  <si>
    <t>差异：</t>
  </si>
  <si>
    <t>Finance Total：财务导入的真实值</t>
    <phoneticPr fontId="28" type="noConversion"/>
  </si>
  <si>
    <t>差异(预算-Finance Total)：</t>
  </si>
  <si>
    <t>当月折扣(BA)：</t>
  </si>
  <si>
    <t>当月折扣(NON BA)：</t>
  </si>
  <si>
    <t>预算BA比例：</t>
  </si>
  <si>
    <t>薪资95.00%，福利93.40%</t>
  </si>
  <si>
    <t>预算NONBA比例：</t>
  </si>
  <si>
    <t>薪资100.00%，福利100.00%</t>
  </si>
  <si>
    <t>财年rolling本月比例调整(BA)：</t>
  </si>
  <si>
    <t>财年rolling本月比例调整(NON BA)：</t>
  </si>
  <si>
    <t>财年rolling最新预测比例调整:</t>
  </si>
  <si>
    <t>薪资XX.XX%，福利XX.XX%</t>
  </si>
  <si>
    <t>扣除离职仍发薪员工数据：</t>
  </si>
  <si>
    <t>本月补发薪资：4,660.82</t>
  </si>
  <si>
    <t>本月补发福利：43.61</t>
  </si>
  <si>
    <t>KL/FM</t>
    <phoneticPr fontId="2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</si>
</sst>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_ * #,##0.00_ ;_ * \-#,##0.00_ ;_ * &quot;-&quot;??_ ;_ @_ "/>
    <numFmt numFmtId="177" formatCode="#,##0.0"/>
    <numFmt numFmtId="178" formatCode="#0.0"/>
  </numFmts>
  <fonts count="29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b/>
      <sz val="11"/>
      <color rgb="FF3F3F3F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i/>
      <sz val="11"/>
      <color rgb="FF7F7F7F"/>
      <name val="等线"/>
      <family val="2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b/>
      <sz val="11"/>
      <color rgb="FFF7F7F7"/>
      <name val="等线"/>
      <family val="2"/>
      <charset val="134"/>
      <scheme val="minor"/>
    </font>
    <font>
      <b/>
      <sz val="10"/>
      <color rgb="FFF7F7F7"/>
      <name val="等线"/>
      <family val="2"/>
      <scheme val="minor"/>
    </font>
    <font>
      <sz val="11"/>
      <color rgb="FF4A3C8C"/>
      <name val="等线"/>
      <family val="2"/>
      <charset val="134"/>
      <scheme val="minor"/>
    </font>
    <font>
      <sz val="10"/>
      <color rgb="FF4A3C8C"/>
      <name val="等线"/>
      <family val="2"/>
      <scheme val="minor"/>
    </font>
    <font>
      <sz val="10"/>
      <color rgb="FFFF0000"/>
      <name val="Aptos Narrow (Body)"/>
    </font>
    <font>
      <sz val="10"/>
      <color rgb="FFFF0000"/>
      <name val="等线"/>
      <family val="2"/>
      <scheme val="minor"/>
    </font>
    <font>
      <b/>
      <sz val="10"/>
      <color rgb="FFFF0000"/>
      <name val="Aptos Narrow (Body)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1"/>
      <color rgb="FF4A3C8C"/>
      <name val="等线"/>
      <family val="2"/>
      <scheme val="minor"/>
    </font>
    <font>
      <sz val="9"/>
      <name val="等线"/>
      <family val="3"/>
      <charset val="134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4A3C8C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0EE9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176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1">
    <xf numFmtId="0" fontId="0" fillId="0" borderId="0" xfId="0"/>
    <xf numFmtId="0" fontId="18" fillId="33" borderId="0" xfId="0" applyFont="1" applyFill="1"/>
    <xf numFmtId="0" fontId="19" fillId="33" borderId="0" xfId="0" applyFont="1" applyFill="1" applyAlignment="1">
      <alignment horizontal="center" vertical="center"/>
    </xf>
    <xf numFmtId="0" fontId="19" fillId="33" borderId="0" xfId="0" applyFont="1" applyFill="1" applyAlignment="1">
      <alignment horizontal="right" vertical="center"/>
    </xf>
    <xf numFmtId="0" fontId="20" fillId="34" borderId="0" xfId="0" applyFont="1" applyFill="1"/>
    <xf numFmtId="0" fontId="21" fillId="34" borderId="0" xfId="0" applyFont="1" applyFill="1"/>
    <xf numFmtId="0" fontId="20" fillId="35" borderId="0" xfId="0" applyFont="1" applyFill="1"/>
    <xf numFmtId="0" fontId="21" fillId="35" borderId="0" xfId="0" applyFont="1" applyFill="1"/>
    <xf numFmtId="177" fontId="21" fillId="35" borderId="0" xfId="0" applyNumberFormat="1" applyFont="1" applyFill="1"/>
    <xf numFmtId="177" fontId="21" fillId="34" borderId="0" xfId="0" applyNumberFormat="1" applyFont="1" applyFill="1"/>
    <xf numFmtId="4" fontId="0" fillId="0" borderId="0" xfId="0" applyNumberFormat="1"/>
    <xf numFmtId="176" fontId="21" fillId="34" borderId="0" xfId="1" applyFont="1" applyFill="1"/>
    <xf numFmtId="176" fontId="21" fillId="35" borderId="0" xfId="1" applyFont="1" applyFill="1"/>
    <xf numFmtId="0" fontId="21" fillId="36" borderId="0" xfId="0" applyFont="1" applyFill="1"/>
    <xf numFmtId="0" fontId="23" fillId="36" borderId="0" xfId="0" applyFont="1" applyFill="1"/>
    <xf numFmtId="0" fontId="27" fillId="35" borderId="0" xfId="0" applyFont="1" applyFill="1"/>
    <xf numFmtId="4" fontId="21" fillId="35" borderId="0" xfId="0" applyNumberFormat="1" applyFont="1" applyFill="1"/>
    <xf numFmtId="14" fontId="21" fillId="35" borderId="0" xfId="0" applyNumberFormat="1" applyFont="1" applyFill="1"/>
    <xf numFmtId="4" fontId="21" fillId="35" borderId="0" xfId="0" applyNumberFormat="1" applyFont="1" applyFill="1" applyAlignment="1">
      <alignment horizontal="right"/>
    </xf>
    <xf numFmtId="178" fontId="21" fillId="35" borderId="0" xfId="0" applyNumberFormat="1" applyFont="1" applyFill="1" applyAlignment="1">
      <alignment horizontal="right"/>
    </xf>
    <xf numFmtId="0" fontId="27" fillId="34" borderId="0" xfId="0" applyFont="1" applyFill="1"/>
    <xf numFmtId="4" fontId="21" fillId="34" borderId="0" xfId="0" applyNumberFormat="1" applyFont="1" applyFill="1"/>
    <xf numFmtId="14" fontId="21" fillId="34" borderId="0" xfId="0" applyNumberFormat="1" applyFont="1" applyFill="1"/>
    <xf numFmtId="4" fontId="21" fillId="34" borderId="0" xfId="0" applyNumberFormat="1" applyFont="1" applyFill="1" applyAlignment="1">
      <alignment horizontal="right"/>
    </xf>
    <xf numFmtId="178" fontId="21" fillId="34" borderId="0" xfId="0" applyNumberFormat="1" applyFont="1" applyFill="1" applyAlignment="1">
      <alignment horizontal="right"/>
    </xf>
    <xf numFmtId="0" fontId="21" fillId="35" borderId="0" xfId="0" applyFont="1" applyFill="1" applyAlignment="1">
      <alignment horizontal="right"/>
    </xf>
    <xf numFmtId="0" fontId="21" fillId="37" borderId="0" xfId="0" applyFont="1" applyFill="1"/>
    <xf numFmtId="0" fontId="21" fillId="34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19" fillId="33" borderId="0" xfId="0" applyFont="1" applyFill="1" applyAlignment="1">
      <alignment horizontal="left" vertical="center" wrapText="1"/>
    </xf>
    <xf numFmtId="0" fontId="18" fillId="33" borderId="0" xfId="0" applyFont="1" applyFill="1" applyAlignment="1">
      <alignment horizontal="center"/>
    </xf>
  </cellXfs>
  <cellStyles count="43">
    <cellStyle name="20% - 着色 1" xfId="20" builtinId="30" customBuiltin="1"/>
    <cellStyle name="20% - 着色 2" xfId="24" builtinId="34" customBuiltin="1"/>
    <cellStyle name="20% - 着色 3" xfId="28" builtinId="38" customBuiltin="1"/>
    <cellStyle name="20% - 着色 4" xfId="32" builtinId="42" customBuiltin="1"/>
    <cellStyle name="20% - 着色 5" xfId="36" builtinId="46" customBuiltin="1"/>
    <cellStyle name="20% - 着色 6" xfId="40" builtinId="50" customBuiltin="1"/>
    <cellStyle name="40% - 着色 1" xfId="21" builtinId="31" customBuiltin="1"/>
    <cellStyle name="40% - 着色 2" xfId="25" builtinId="35" customBuiltin="1"/>
    <cellStyle name="40% - 着色 3" xfId="29" builtinId="39" customBuiltin="1"/>
    <cellStyle name="40% - 着色 4" xfId="33" builtinId="43" customBuiltin="1"/>
    <cellStyle name="40% - 着色 5" xfId="37" builtinId="47" customBuiltin="1"/>
    <cellStyle name="40% - 着色 6" xfId="41" builtinId="51" customBuiltin="1"/>
    <cellStyle name="60% - 着色 1" xfId="22" builtinId="32" customBuiltin="1"/>
    <cellStyle name="60% - 着色 2" xfId="26" builtinId="36" customBuiltin="1"/>
    <cellStyle name="60% - 着色 3" xfId="30" builtinId="40" customBuiltin="1"/>
    <cellStyle name="60% - 着色 4" xfId="34" builtinId="44" customBuiltin="1"/>
    <cellStyle name="60% - 着色 5" xfId="38" builtinId="48" customBuiltin="1"/>
    <cellStyle name="60% - 着色 6" xfId="42" builtinId="52" customBuiltin="1"/>
    <cellStyle name="千位分隔" xfId="1" builtinId="3"/>
    <cellStyle name="好" xfId="7" builtinId="26" customBuiltin="1"/>
    <cellStyle name="差" xfId="8" builtinId="27" customBuiltin="1"/>
    <cellStyle name="常规" xfId="0" builtinId="0"/>
    <cellStyle name="标题" xfId="2" builtinId="15" customBuiltin="1"/>
    <cellStyle name="标题 1" xfId="3" builtinId="16" customBuiltin="1"/>
    <cellStyle name="标题 2" xfId="4" builtinId="17" customBuiltin="1"/>
    <cellStyle name="标题 3" xfId="5" builtinId="18" customBuiltin="1"/>
    <cellStyle name="标题 4" xfId="6" builtinId="19" customBuiltin="1"/>
    <cellStyle name="检查单元格" xfId="14" builtinId="23" customBuiltin="1"/>
    <cellStyle name="汇总" xfId="18" builtinId="25" customBuiltin="1"/>
    <cellStyle name="注释" xfId="16" builtinId="10" customBuiltin="1"/>
    <cellStyle name="着色 1" xfId="19" builtinId="29" customBuiltin="1"/>
    <cellStyle name="着色 2" xfId="23" builtinId="33" customBuiltin="1"/>
    <cellStyle name="着色 3" xfId="27" builtinId="37" customBuiltin="1"/>
    <cellStyle name="着色 4" xfId="31" builtinId="41" customBuiltin="1"/>
    <cellStyle name="着色 5" xfId="35" builtinId="45" customBuiltin="1"/>
    <cellStyle name="着色 6" xfId="39" builtinId="49" customBuiltin="1"/>
    <cellStyle name="解释性文本" xfId="17" builtinId="53" customBuiltin="1"/>
    <cellStyle name="警告文本" xfId="15" builtinId="11" customBuiltin="1"/>
    <cellStyle name="计算" xfId="12" builtinId="22" customBuiltin="1"/>
    <cellStyle name="输入" xfId="10" builtinId="20" customBuiltin="1"/>
    <cellStyle name="输出" xfId="11" builtinId="21" customBuiltin="1"/>
    <cellStyle name="适中" xfId="9" builtinId="28" customBuiltin="1"/>
    <cellStyle name="链接单元格" xfId="13" builtinId="24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165100</xdr:colOff>
          <xdr:row>0</xdr:row>
          <xdr:rowOff>133350</xdr:rowOff>
        </xdr:from>
        <xdr:to>
          <xdr:col>1</xdr:col>
          <xdr:colOff>577850</xdr:colOff>
          <xdr:row>0</xdr:row>
          <xdr:rowOff>469900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分组合计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FAAE6-DFEF-41EB-B3DF-960B642F81F2}">
  <sheetPr codeName="Sheet1"/>
  <dimension ref="A1:DE48"/>
  <sheetViews>
    <sheetView showGridLines="0" zoomScaleNormal="100" workbookViewId="0">
      <selection activeCell="B3" sqref="B3"/>
    </sheetView>
  </sheetViews>
  <sheetFormatPr defaultColWidth="8.83203125" defaultRowHeight="14"/>
  <cols>
    <col min="3" max="3" width="5.1640625" bestFit="1" customWidth="1"/>
    <col min="4" max="4" width="6.83203125" bestFit="1" customWidth="1"/>
    <col min="5" max="5" width="5.1640625" bestFit="1" customWidth="1"/>
    <col min="6" max="6" width="15.6640625" bestFit="1" customWidth="1"/>
    <col min="7" max="7" width="13.5" bestFit="1" customWidth="1"/>
    <col min="8" max="8" width="17" bestFit="1" customWidth="1"/>
    <col min="9" max="9" width="25.08203125" customWidth="1"/>
    <col min="10" max="10" width="10.83203125" bestFit="1" customWidth="1"/>
    <col min="11" max="11" width="17" bestFit="1" customWidth="1"/>
    <col min="12" max="12" width="12.5" bestFit="1" customWidth="1"/>
    <col min="13" max="13" width="11.5" bestFit="1" customWidth="1"/>
    <col min="14" max="14" width="10.6640625" bestFit="1" customWidth="1"/>
    <col min="15" max="15" width="4" bestFit="1" customWidth="1"/>
    <col min="16" max="16" width="9.33203125" bestFit="1" customWidth="1"/>
    <col min="17" max="17" width="10.5" bestFit="1" customWidth="1"/>
    <col min="18" max="18" width="10" bestFit="1" customWidth="1"/>
    <col min="19" max="19" width="6.5" bestFit="1" customWidth="1"/>
    <col min="20" max="20" width="10.5" bestFit="1" customWidth="1"/>
    <col min="21" max="21" width="10" bestFit="1" customWidth="1"/>
    <col min="22" max="22" width="6.5" bestFit="1" customWidth="1"/>
    <col min="23" max="23" width="10.5" bestFit="1" customWidth="1"/>
    <col min="24" max="24" width="10" bestFit="1" customWidth="1"/>
    <col min="25" max="25" width="6.5" bestFit="1" customWidth="1"/>
    <col min="26" max="27" width="9.83203125" bestFit="1" customWidth="1"/>
    <col min="28" max="28" width="7.33203125" bestFit="1" customWidth="1"/>
    <col min="29" max="30" width="9.83203125" bestFit="1" customWidth="1"/>
    <col min="31" max="31" width="7.33203125" bestFit="1" customWidth="1"/>
    <col min="32" max="33" width="9.83203125" bestFit="1" customWidth="1"/>
    <col min="34" max="34" width="7.33203125" bestFit="1" customWidth="1"/>
    <col min="35" max="36" width="9.83203125" bestFit="1" customWidth="1"/>
    <col min="37" max="37" width="6.33203125" bestFit="1" customWidth="1"/>
    <col min="38" max="39" width="9.83203125" bestFit="1" customWidth="1"/>
    <col min="40" max="40" width="6.33203125" bestFit="1" customWidth="1"/>
    <col min="41" max="42" width="9.83203125" bestFit="1" customWidth="1"/>
    <col min="43" max="43" width="6.33203125" bestFit="1" customWidth="1"/>
    <col min="44" max="45" width="9.83203125" bestFit="1" customWidth="1"/>
    <col min="46" max="46" width="6.33203125" bestFit="1" customWidth="1"/>
    <col min="47" max="48" width="9.83203125" bestFit="1" customWidth="1"/>
    <col min="49" max="49" width="6.33203125" bestFit="1" customWidth="1"/>
    <col min="50" max="51" width="9.83203125" bestFit="1" customWidth="1"/>
    <col min="52" max="52" width="6.33203125" bestFit="1" customWidth="1"/>
    <col min="53" max="53" width="9.33203125" bestFit="1" customWidth="1"/>
    <col min="54" max="55" width="13.5" bestFit="1" customWidth="1"/>
    <col min="56" max="56" width="9.5" bestFit="1" customWidth="1"/>
  </cols>
  <sheetData>
    <row r="1" spans="1:57" ht="45" customHeight="1">
      <c r="A1" s="28"/>
      <c r="B1" s="28"/>
    </row>
    <row r="2" spans="1:57" s="1" customFormat="1">
      <c r="A2" s="30"/>
      <c r="B2" s="30"/>
      <c r="C2" s="29" t="s">
        <v>129</v>
      </c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29"/>
      <c r="AR2" s="29"/>
      <c r="AS2" s="29"/>
      <c r="AT2" s="29"/>
      <c r="AU2" s="29"/>
      <c r="AV2" s="29"/>
      <c r="AW2" s="29"/>
      <c r="AX2" s="29"/>
      <c r="AY2" s="29"/>
      <c r="AZ2" s="29"/>
      <c r="BA2" s="29"/>
      <c r="BB2" s="29"/>
      <c r="BC2" s="29"/>
      <c r="BD2" s="29"/>
      <c r="BE2" s="29"/>
    </row>
    <row r="3" spans="1:57" s="1" customFormat="1">
      <c r="A3" s="1" t="s">
        <v>128</v>
      </c>
      <c r="B3" s="1" t="s">
        <v>55</v>
      </c>
      <c r="C3" s="2" t="s">
        <v>1</v>
      </c>
      <c r="D3" s="2" t="s">
        <v>2</v>
      </c>
      <c r="E3" s="2" t="s">
        <v>3</v>
      </c>
      <c r="F3" s="2" t="s">
        <v>4</v>
      </c>
      <c r="G3" s="2" t="s">
        <v>5</v>
      </c>
      <c r="H3" s="2" t="s">
        <v>6</v>
      </c>
      <c r="I3" s="2" t="s">
        <v>7</v>
      </c>
      <c r="J3" s="2" t="s">
        <v>8</v>
      </c>
      <c r="K3" s="2" t="s">
        <v>9</v>
      </c>
      <c r="L3" s="2" t="s">
        <v>10</v>
      </c>
      <c r="M3" s="2" t="s">
        <v>11</v>
      </c>
      <c r="N3" s="2" t="s">
        <v>12</v>
      </c>
      <c r="O3" s="2" t="s">
        <v>13</v>
      </c>
      <c r="P3" s="2" t="s">
        <v>14</v>
      </c>
      <c r="Q3" s="2" t="s">
        <v>15</v>
      </c>
      <c r="R3" s="2" t="s">
        <v>16</v>
      </c>
      <c r="S3" s="2" t="s">
        <v>17</v>
      </c>
      <c r="T3" s="2" t="s">
        <v>18</v>
      </c>
      <c r="U3" s="2" t="s">
        <v>19</v>
      </c>
      <c r="V3" s="2" t="s">
        <v>20</v>
      </c>
      <c r="W3" s="2" t="s">
        <v>21</v>
      </c>
      <c r="X3" s="2" t="s">
        <v>22</v>
      </c>
      <c r="Y3" s="2" t="s">
        <v>23</v>
      </c>
      <c r="Z3" s="2" t="s">
        <v>24</v>
      </c>
      <c r="AA3" s="2" t="s">
        <v>25</v>
      </c>
      <c r="AB3" s="2" t="s">
        <v>26</v>
      </c>
      <c r="AC3" s="2" t="s">
        <v>27</v>
      </c>
      <c r="AD3" s="2" t="s">
        <v>28</v>
      </c>
      <c r="AE3" s="2" t="s">
        <v>29</v>
      </c>
      <c r="AF3" s="2" t="s">
        <v>30</v>
      </c>
      <c r="AG3" s="2" t="s">
        <v>31</v>
      </c>
      <c r="AH3" s="2" t="s">
        <v>32</v>
      </c>
      <c r="AI3" s="2" t="s">
        <v>33</v>
      </c>
      <c r="AJ3" s="2" t="s">
        <v>34</v>
      </c>
      <c r="AK3" s="2" t="s">
        <v>35</v>
      </c>
      <c r="AL3" s="2" t="s">
        <v>36</v>
      </c>
      <c r="AM3" s="2" t="s">
        <v>37</v>
      </c>
      <c r="AN3" s="2" t="s">
        <v>38</v>
      </c>
      <c r="AO3" s="2" t="s">
        <v>39</v>
      </c>
      <c r="AP3" s="2" t="s">
        <v>40</v>
      </c>
      <c r="AQ3" s="2" t="s">
        <v>41</v>
      </c>
      <c r="AR3" s="2" t="s">
        <v>42</v>
      </c>
      <c r="AS3" s="2" t="s">
        <v>43</v>
      </c>
      <c r="AT3" s="2" t="s">
        <v>44</v>
      </c>
      <c r="AU3" s="2" t="s">
        <v>45</v>
      </c>
      <c r="AV3" s="2" t="s">
        <v>46</v>
      </c>
      <c r="AW3" s="2" t="s">
        <v>47</v>
      </c>
      <c r="AX3" s="2" t="s">
        <v>48</v>
      </c>
      <c r="AY3" s="2" t="s">
        <v>49</v>
      </c>
      <c r="AZ3" s="2" t="s">
        <v>50</v>
      </c>
      <c r="BA3" s="2" t="s">
        <v>51</v>
      </c>
      <c r="BB3" s="2" t="s">
        <v>52</v>
      </c>
      <c r="BC3" s="2" t="s">
        <v>53</v>
      </c>
      <c r="BD3" s="2" t="s">
        <v>54</v>
      </c>
    </row>
    <row r="4" spans="1:57" s="4" customFormat="1">
      <c r="C4" s="5" t="s">
        <v>55</v>
      </c>
      <c r="D4" s="5" t="s">
        <v>56</v>
      </c>
      <c r="E4" s="4" t="s">
        <v>57</v>
      </c>
      <c r="F4" s="4" t="s">
        <v>58</v>
      </c>
      <c r="G4" s="5"/>
      <c r="H4" s="5" t="s">
        <v>59</v>
      </c>
      <c r="I4" s="4" t="s">
        <v>59</v>
      </c>
      <c r="J4" s="4" t="s">
        <v>60</v>
      </c>
      <c r="K4" s="5" t="s">
        <v>59</v>
      </c>
      <c r="L4" s="5" t="s">
        <v>61</v>
      </c>
      <c r="M4" s="4" t="s">
        <v>61</v>
      </c>
      <c r="N4" s="4" t="s">
        <v>61</v>
      </c>
      <c r="O4" s="5"/>
      <c r="P4" s="5" t="s">
        <v>62</v>
      </c>
      <c r="Q4" s="4">
        <f>S4*1000</f>
        <v>2000</v>
      </c>
      <c r="R4" s="4">
        <f>S4*1000</f>
        <v>2000</v>
      </c>
      <c r="S4" s="5">
        <v>2</v>
      </c>
      <c r="T4" s="5">
        <f>V4*1000</f>
        <v>2000</v>
      </c>
      <c r="U4" s="4">
        <f>V4*1000</f>
        <v>2000</v>
      </c>
      <c r="V4" s="4">
        <v>2</v>
      </c>
      <c r="W4" s="5">
        <f>Y4*1000</f>
        <v>2000</v>
      </c>
      <c r="X4" s="5">
        <f>Y4*1000</f>
        <v>2000</v>
      </c>
      <c r="Y4" s="4">
        <v>2</v>
      </c>
      <c r="Z4" s="4">
        <f>AB4*1000</f>
        <v>2000</v>
      </c>
      <c r="AA4" s="5">
        <f>AB4*1000</f>
        <v>2000</v>
      </c>
      <c r="AB4" s="5">
        <v>2</v>
      </c>
      <c r="AC4" s="4">
        <f>AE4*1000</f>
        <v>2000</v>
      </c>
      <c r="AD4" s="4">
        <f>AE4*1000</f>
        <v>2000</v>
      </c>
      <c r="AE4" s="5">
        <v>2</v>
      </c>
      <c r="AF4" s="5">
        <f>AH4*1000</f>
        <v>2000</v>
      </c>
      <c r="AG4" s="4">
        <f>AH4*1000</f>
        <v>2000</v>
      </c>
      <c r="AH4" s="4">
        <v>2</v>
      </c>
      <c r="AI4" s="5">
        <f>AK4*1000</f>
        <v>2000</v>
      </c>
      <c r="AJ4" s="5">
        <f>AK4*1000</f>
        <v>2000</v>
      </c>
      <c r="AK4" s="4">
        <v>2</v>
      </c>
      <c r="AL4" s="4">
        <f>AN4*1000</f>
        <v>2000</v>
      </c>
      <c r="AM4" s="5">
        <f>AN4*1000</f>
        <v>2000</v>
      </c>
      <c r="AN4" s="5">
        <v>2</v>
      </c>
      <c r="AO4" s="4">
        <f>AQ4*1000</f>
        <v>2000</v>
      </c>
      <c r="AP4" s="4">
        <f>AQ4*1000</f>
        <v>2000</v>
      </c>
      <c r="AQ4" s="5">
        <v>2</v>
      </c>
      <c r="AR4" s="5">
        <f>AT4*1000</f>
        <v>2000</v>
      </c>
      <c r="AS4" s="4">
        <f>AT4*1000</f>
        <v>2000</v>
      </c>
      <c r="AT4" s="4">
        <v>2</v>
      </c>
      <c r="AU4" s="5">
        <f>AW4*1000</f>
        <v>2000</v>
      </c>
      <c r="AV4" s="5">
        <f>AW4*1000</f>
        <v>2000</v>
      </c>
      <c r="AW4" s="4">
        <v>2</v>
      </c>
      <c r="AX4" s="4">
        <f>AZ4*1000</f>
        <v>2000</v>
      </c>
      <c r="AY4" s="5">
        <f>AZ4*1000</f>
        <v>2000</v>
      </c>
      <c r="AZ4" s="5">
        <v>2</v>
      </c>
      <c r="BA4" s="4">
        <v>0</v>
      </c>
      <c r="BB4" s="4">
        <f>SUM(Q4,T4,W4,Z4,AC4,AF4,AI4,AL4,AO4,AR4,AU4,AX4)</f>
        <v>24000</v>
      </c>
      <c r="BC4" s="5">
        <f>SUM(R4,U4,X4,AA4,AD4,AG4,AJ4,AM4,AP4,AS4,AV4,AY4)</f>
        <v>24000</v>
      </c>
      <c r="BD4" s="5">
        <v>2</v>
      </c>
    </row>
    <row r="5" spans="1:57" s="6" customFormat="1">
      <c r="A5" s="6" t="s">
        <v>69</v>
      </c>
      <c r="C5" s="7" t="s">
        <v>132</v>
      </c>
      <c r="D5" s="7" t="s">
        <v>56</v>
      </c>
      <c r="E5" s="6" t="s">
        <v>63</v>
      </c>
      <c r="F5" s="6" t="s">
        <v>64</v>
      </c>
      <c r="G5" s="7"/>
      <c r="H5" s="7" t="s">
        <v>65</v>
      </c>
      <c r="I5" s="6">
        <v>5841813202</v>
      </c>
      <c r="J5" s="6" t="s">
        <v>60</v>
      </c>
      <c r="K5" s="7" t="s">
        <v>65</v>
      </c>
      <c r="L5" s="7" t="s">
        <v>66</v>
      </c>
      <c r="M5" s="6" t="s">
        <v>67</v>
      </c>
      <c r="N5" s="6" t="s">
        <v>68</v>
      </c>
      <c r="O5" s="7"/>
      <c r="P5" s="7" t="s">
        <v>69</v>
      </c>
      <c r="Q5" s="6">
        <f t="shared" ref="Q5:Q25" si="0">S5*1000</f>
        <v>3000</v>
      </c>
      <c r="R5" s="6">
        <f t="shared" ref="R5:R25" si="1">S5*1000</f>
        <v>3000</v>
      </c>
      <c r="S5" s="7">
        <v>3</v>
      </c>
      <c r="T5" s="7">
        <f t="shared" ref="T5:T25" si="2">V5*1000</f>
        <v>3000</v>
      </c>
      <c r="U5" s="6">
        <f t="shared" ref="U5:U25" si="3">V5*1000</f>
        <v>3000</v>
      </c>
      <c r="V5" s="6">
        <v>3</v>
      </c>
      <c r="W5" s="7">
        <f t="shared" ref="W5:W25" si="4">Y5*1000</f>
        <v>3000</v>
      </c>
      <c r="X5" s="7">
        <f t="shared" ref="X5:X25" si="5">Y5*1000</f>
        <v>3000</v>
      </c>
      <c r="Y5" s="6">
        <v>3</v>
      </c>
      <c r="Z5" s="6">
        <f t="shared" ref="Z5:Z25" si="6">AB5*1000</f>
        <v>3000</v>
      </c>
      <c r="AA5" s="7">
        <f t="shared" ref="AA5:AA25" si="7">AB5*1000</f>
        <v>3000</v>
      </c>
      <c r="AB5" s="7">
        <v>3</v>
      </c>
      <c r="AC5" s="6">
        <f t="shared" ref="AC5:AC25" si="8">AE5*1000</f>
        <v>3000</v>
      </c>
      <c r="AD5" s="6">
        <f t="shared" ref="AD5:AD25" si="9">AE5*1000</f>
        <v>3000</v>
      </c>
      <c r="AE5" s="7">
        <v>3</v>
      </c>
      <c r="AF5" s="7">
        <f t="shared" ref="AF5:AF25" si="10">AH5*1000</f>
        <v>3000</v>
      </c>
      <c r="AG5" s="6">
        <f t="shared" ref="AG5:AG25" si="11">AH5*1000</f>
        <v>3000</v>
      </c>
      <c r="AH5" s="6">
        <v>3</v>
      </c>
      <c r="AI5" s="7">
        <f t="shared" ref="AI5:AI25" si="12">AK5*1000</f>
        <v>3000</v>
      </c>
      <c r="AJ5" s="7">
        <f t="shared" ref="AJ5:AJ25" si="13">AK5*1000</f>
        <v>3000</v>
      </c>
      <c r="AK5" s="6">
        <v>3</v>
      </c>
      <c r="AL5" s="6">
        <f t="shared" ref="AL5:AL25" si="14">AN5*1000</f>
        <v>3000</v>
      </c>
      <c r="AM5" s="7">
        <f t="shared" ref="AM5:AM25" si="15">AN5*1000</f>
        <v>3000</v>
      </c>
      <c r="AN5" s="7">
        <v>3</v>
      </c>
      <c r="AO5" s="6">
        <f t="shared" ref="AO5:AO25" si="16">AQ5*1000</f>
        <v>3000</v>
      </c>
      <c r="AP5" s="6">
        <f t="shared" ref="AP5:AP25" si="17">AQ5*1000</f>
        <v>3000</v>
      </c>
      <c r="AQ5" s="7">
        <v>3</v>
      </c>
      <c r="AR5" s="7">
        <f t="shared" ref="AR5:AR25" si="18">AT5*1000</f>
        <v>3000</v>
      </c>
      <c r="AS5" s="6">
        <f t="shared" ref="AS5:AS25" si="19">AT5*1000</f>
        <v>3000</v>
      </c>
      <c r="AT5" s="6">
        <v>3</v>
      </c>
      <c r="AU5" s="7">
        <f t="shared" ref="AU5:AU25" si="20">AW5*1000</f>
        <v>3000</v>
      </c>
      <c r="AV5" s="7">
        <f t="shared" ref="AV5:AV25" si="21">AW5*1000</f>
        <v>3000</v>
      </c>
      <c r="AW5" s="6">
        <v>3</v>
      </c>
      <c r="AX5" s="6">
        <f t="shared" ref="AX5:AX25" si="22">AZ5*1000</f>
        <v>3000</v>
      </c>
      <c r="AY5" s="7">
        <f t="shared" ref="AY5:AY25" si="23">AZ5*1000</f>
        <v>3000</v>
      </c>
      <c r="AZ5" s="7">
        <v>3</v>
      </c>
      <c r="BA5" s="6">
        <v>0</v>
      </c>
      <c r="BB5" s="6">
        <f t="shared" ref="BB5:BB25" si="24">SUM(Q5,T5,W5,Z5,AC5,AF5,AI5,AL5,AO5,AR5,AU5,AX5)</f>
        <v>36000</v>
      </c>
      <c r="BC5" s="7">
        <f t="shared" ref="BC5:BC25" si="25">SUM(R5,U5,X5,AA5,AD5,AG5,AJ5,AM5,AP5,AS5,AV5,AY5)</f>
        <v>36000</v>
      </c>
      <c r="BD5" s="7">
        <v>3</v>
      </c>
    </row>
    <row r="6" spans="1:57" s="4" customFormat="1">
      <c r="C6" s="5" t="s">
        <v>55</v>
      </c>
      <c r="D6" s="5" t="s">
        <v>56</v>
      </c>
      <c r="E6" s="4" t="s">
        <v>70</v>
      </c>
      <c r="F6" s="4" t="s">
        <v>71</v>
      </c>
      <c r="G6" s="5"/>
      <c r="H6" s="5">
        <v>375953</v>
      </c>
      <c r="I6" s="4">
        <v>5841813202</v>
      </c>
      <c r="J6" s="4" t="s">
        <v>60</v>
      </c>
      <c r="K6" s="5" t="s">
        <v>72</v>
      </c>
      <c r="L6" s="5" t="s">
        <v>73</v>
      </c>
      <c r="M6" s="4" t="s">
        <v>67</v>
      </c>
      <c r="N6" s="4" t="s">
        <v>74</v>
      </c>
      <c r="O6" s="5"/>
      <c r="P6" s="5" t="s">
        <v>69</v>
      </c>
      <c r="Q6" s="4">
        <f t="shared" si="0"/>
        <v>4000</v>
      </c>
      <c r="R6" s="4">
        <f t="shared" si="1"/>
        <v>4000</v>
      </c>
      <c r="S6" s="5">
        <v>4</v>
      </c>
      <c r="T6" s="5">
        <f t="shared" si="2"/>
        <v>4000</v>
      </c>
      <c r="U6" s="4">
        <f t="shared" si="3"/>
        <v>4000</v>
      </c>
      <c r="V6" s="4">
        <v>4</v>
      </c>
      <c r="W6" s="5">
        <f t="shared" si="4"/>
        <v>4000</v>
      </c>
      <c r="X6" s="5">
        <f t="shared" si="5"/>
        <v>4000</v>
      </c>
      <c r="Y6" s="4">
        <v>4</v>
      </c>
      <c r="Z6" s="4">
        <f t="shared" si="6"/>
        <v>4000</v>
      </c>
      <c r="AA6" s="5">
        <f t="shared" si="7"/>
        <v>4000</v>
      </c>
      <c r="AB6" s="5">
        <v>4</v>
      </c>
      <c r="AC6" s="4">
        <f t="shared" si="8"/>
        <v>4000</v>
      </c>
      <c r="AD6" s="4">
        <f t="shared" si="9"/>
        <v>4000</v>
      </c>
      <c r="AE6" s="5">
        <v>4</v>
      </c>
      <c r="AF6" s="5">
        <f t="shared" si="10"/>
        <v>4000</v>
      </c>
      <c r="AG6" s="4">
        <f t="shared" si="11"/>
        <v>4000</v>
      </c>
      <c r="AH6" s="4">
        <v>4</v>
      </c>
      <c r="AI6" s="5">
        <f t="shared" si="12"/>
        <v>4000</v>
      </c>
      <c r="AJ6" s="5">
        <f t="shared" si="13"/>
        <v>4000</v>
      </c>
      <c r="AK6" s="4">
        <v>4</v>
      </c>
      <c r="AL6" s="4">
        <f t="shared" si="14"/>
        <v>4000</v>
      </c>
      <c r="AM6" s="5">
        <f t="shared" si="15"/>
        <v>4000</v>
      </c>
      <c r="AN6" s="5">
        <v>4</v>
      </c>
      <c r="AO6" s="4">
        <f t="shared" si="16"/>
        <v>4000</v>
      </c>
      <c r="AP6" s="4">
        <f t="shared" si="17"/>
        <v>4000</v>
      </c>
      <c r="AQ6" s="5">
        <v>4</v>
      </c>
      <c r="AR6" s="5">
        <f t="shared" si="18"/>
        <v>4000</v>
      </c>
      <c r="AS6" s="4">
        <f t="shared" si="19"/>
        <v>4000</v>
      </c>
      <c r="AT6" s="4">
        <v>4</v>
      </c>
      <c r="AU6" s="5">
        <f t="shared" si="20"/>
        <v>4000</v>
      </c>
      <c r="AV6" s="5">
        <f t="shared" si="21"/>
        <v>4000</v>
      </c>
      <c r="AW6" s="4">
        <v>4</v>
      </c>
      <c r="AX6" s="4">
        <f t="shared" si="22"/>
        <v>4000</v>
      </c>
      <c r="AY6" s="5">
        <f t="shared" si="23"/>
        <v>4000</v>
      </c>
      <c r="AZ6" s="5">
        <v>4</v>
      </c>
      <c r="BA6" s="4">
        <v>0</v>
      </c>
      <c r="BB6" s="4">
        <f t="shared" si="24"/>
        <v>48000</v>
      </c>
      <c r="BC6" s="5">
        <f t="shared" si="25"/>
        <v>48000</v>
      </c>
      <c r="BD6" s="5">
        <v>4</v>
      </c>
    </row>
    <row r="7" spans="1:57" s="6" customFormat="1">
      <c r="C7" s="7" t="s">
        <v>133</v>
      </c>
      <c r="D7" s="7" t="s">
        <v>56</v>
      </c>
      <c r="E7" s="6" t="s">
        <v>75</v>
      </c>
      <c r="F7" s="6" t="s">
        <v>76</v>
      </c>
      <c r="G7" s="7"/>
      <c r="H7" s="7" t="s">
        <v>77</v>
      </c>
      <c r="I7" s="6" t="s">
        <v>77</v>
      </c>
      <c r="J7" s="6" t="s">
        <v>60</v>
      </c>
      <c r="K7" s="7" t="s">
        <v>77</v>
      </c>
      <c r="L7" s="7" t="s">
        <v>78</v>
      </c>
      <c r="M7" s="6" t="s">
        <v>79</v>
      </c>
      <c r="N7" s="6" t="s">
        <v>79</v>
      </c>
      <c r="O7" s="7"/>
      <c r="P7" s="7" t="s">
        <v>69</v>
      </c>
      <c r="Q7" s="6">
        <f t="shared" si="0"/>
        <v>3000</v>
      </c>
      <c r="R7" s="6">
        <f t="shared" si="1"/>
        <v>3000</v>
      </c>
      <c r="S7" s="7">
        <v>3</v>
      </c>
      <c r="T7" s="7">
        <f t="shared" si="2"/>
        <v>3000</v>
      </c>
      <c r="U7" s="6">
        <f t="shared" si="3"/>
        <v>3000</v>
      </c>
      <c r="V7" s="6">
        <v>3</v>
      </c>
      <c r="W7" s="7">
        <f t="shared" si="4"/>
        <v>3000</v>
      </c>
      <c r="X7" s="7">
        <f t="shared" si="5"/>
        <v>3000</v>
      </c>
      <c r="Y7" s="6">
        <v>3</v>
      </c>
      <c r="Z7" s="6">
        <f t="shared" si="6"/>
        <v>3000</v>
      </c>
      <c r="AA7" s="7">
        <f t="shared" si="7"/>
        <v>3000</v>
      </c>
      <c r="AB7" s="7">
        <v>3</v>
      </c>
      <c r="AC7" s="6">
        <f t="shared" si="8"/>
        <v>3000</v>
      </c>
      <c r="AD7" s="6">
        <f t="shared" si="9"/>
        <v>3000</v>
      </c>
      <c r="AE7" s="7">
        <v>3</v>
      </c>
      <c r="AF7" s="7">
        <f t="shared" si="10"/>
        <v>3000</v>
      </c>
      <c r="AG7" s="6">
        <f t="shared" si="11"/>
        <v>3000</v>
      </c>
      <c r="AH7" s="6">
        <v>3</v>
      </c>
      <c r="AI7" s="7">
        <f t="shared" si="12"/>
        <v>3000</v>
      </c>
      <c r="AJ7" s="7">
        <f t="shared" si="13"/>
        <v>3000</v>
      </c>
      <c r="AK7" s="6">
        <v>3</v>
      </c>
      <c r="AL7" s="6">
        <f t="shared" si="14"/>
        <v>3000</v>
      </c>
      <c r="AM7" s="7">
        <f t="shared" si="15"/>
        <v>3000</v>
      </c>
      <c r="AN7" s="7">
        <v>3</v>
      </c>
      <c r="AO7" s="6">
        <f t="shared" si="16"/>
        <v>3000</v>
      </c>
      <c r="AP7" s="6">
        <f t="shared" si="17"/>
        <v>3000</v>
      </c>
      <c r="AQ7" s="7">
        <v>3</v>
      </c>
      <c r="AR7" s="7">
        <f t="shared" si="18"/>
        <v>3000</v>
      </c>
      <c r="AS7" s="6">
        <f t="shared" si="19"/>
        <v>3000</v>
      </c>
      <c r="AT7" s="6">
        <v>3</v>
      </c>
      <c r="AU7" s="7">
        <f t="shared" si="20"/>
        <v>3000</v>
      </c>
      <c r="AV7" s="7">
        <f t="shared" si="21"/>
        <v>3000</v>
      </c>
      <c r="AW7" s="6">
        <v>3</v>
      </c>
      <c r="AX7" s="6">
        <f t="shared" si="22"/>
        <v>3000</v>
      </c>
      <c r="AY7" s="7">
        <f t="shared" si="23"/>
        <v>3000</v>
      </c>
      <c r="AZ7" s="7">
        <v>3</v>
      </c>
      <c r="BA7" s="6">
        <v>0</v>
      </c>
      <c r="BB7" s="6">
        <f t="shared" si="24"/>
        <v>36000</v>
      </c>
      <c r="BC7" s="7">
        <f t="shared" si="25"/>
        <v>36000</v>
      </c>
      <c r="BD7" s="7">
        <v>3</v>
      </c>
    </row>
    <row r="8" spans="1:57" s="4" customFormat="1">
      <c r="C8" s="5" t="s">
        <v>55</v>
      </c>
      <c r="D8" s="5" t="s">
        <v>56</v>
      </c>
      <c r="E8" s="4" t="s">
        <v>80</v>
      </c>
      <c r="F8" s="4" t="s">
        <v>81</v>
      </c>
      <c r="G8" s="5"/>
      <c r="H8" s="5">
        <v>370316</v>
      </c>
      <c r="I8" s="4">
        <v>5841813202</v>
      </c>
      <c r="J8" s="4" t="s">
        <v>60</v>
      </c>
      <c r="K8" s="5" t="s">
        <v>82</v>
      </c>
      <c r="L8" s="5" t="s">
        <v>73</v>
      </c>
      <c r="M8" s="4" t="s">
        <v>67</v>
      </c>
      <c r="N8" s="4" t="s">
        <v>74</v>
      </c>
      <c r="O8" s="5"/>
      <c r="P8" s="5" t="s">
        <v>69</v>
      </c>
      <c r="Q8" s="4">
        <f t="shared" si="0"/>
        <v>4000</v>
      </c>
      <c r="R8" s="4">
        <f t="shared" si="1"/>
        <v>4000</v>
      </c>
      <c r="S8" s="5">
        <v>4</v>
      </c>
      <c r="T8" s="5">
        <f t="shared" si="2"/>
        <v>4000</v>
      </c>
      <c r="U8" s="4">
        <f t="shared" si="3"/>
        <v>4000</v>
      </c>
      <c r="V8" s="4">
        <v>4</v>
      </c>
      <c r="W8" s="5">
        <f t="shared" si="4"/>
        <v>4000</v>
      </c>
      <c r="X8" s="5">
        <f t="shared" si="5"/>
        <v>4000</v>
      </c>
      <c r="Y8" s="4">
        <v>4</v>
      </c>
      <c r="Z8" s="4">
        <f t="shared" si="6"/>
        <v>4000</v>
      </c>
      <c r="AA8" s="5">
        <f t="shared" si="7"/>
        <v>4000</v>
      </c>
      <c r="AB8" s="5">
        <v>4</v>
      </c>
      <c r="AC8" s="4">
        <f t="shared" si="8"/>
        <v>4000</v>
      </c>
      <c r="AD8" s="4">
        <f t="shared" si="9"/>
        <v>4000</v>
      </c>
      <c r="AE8" s="5">
        <v>4</v>
      </c>
      <c r="AF8" s="5">
        <f t="shared" si="10"/>
        <v>4000</v>
      </c>
      <c r="AG8" s="4">
        <f t="shared" si="11"/>
        <v>4000</v>
      </c>
      <c r="AH8" s="4">
        <v>4</v>
      </c>
      <c r="AI8" s="5">
        <f t="shared" si="12"/>
        <v>4000</v>
      </c>
      <c r="AJ8" s="5">
        <f t="shared" si="13"/>
        <v>4000</v>
      </c>
      <c r="AK8" s="4">
        <v>4</v>
      </c>
      <c r="AL8" s="4">
        <f t="shared" si="14"/>
        <v>4000</v>
      </c>
      <c r="AM8" s="5">
        <f t="shared" si="15"/>
        <v>4000</v>
      </c>
      <c r="AN8" s="5">
        <v>4</v>
      </c>
      <c r="AO8" s="4">
        <f t="shared" si="16"/>
        <v>4000</v>
      </c>
      <c r="AP8" s="4">
        <f t="shared" si="17"/>
        <v>4000</v>
      </c>
      <c r="AQ8" s="5">
        <v>4</v>
      </c>
      <c r="AR8" s="5">
        <f t="shared" si="18"/>
        <v>4000</v>
      </c>
      <c r="AS8" s="4">
        <f t="shared" si="19"/>
        <v>4000</v>
      </c>
      <c r="AT8" s="4">
        <v>4</v>
      </c>
      <c r="AU8" s="5">
        <f t="shared" si="20"/>
        <v>4000</v>
      </c>
      <c r="AV8" s="5">
        <f t="shared" si="21"/>
        <v>4000</v>
      </c>
      <c r="AW8" s="4">
        <v>4</v>
      </c>
      <c r="AX8" s="4">
        <f t="shared" si="22"/>
        <v>4000</v>
      </c>
      <c r="AY8" s="5">
        <f t="shared" si="23"/>
        <v>4000</v>
      </c>
      <c r="AZ8" s="5">
        <v>4</v>
      </c>
      <c r="BA8" s="4">
        <v>0</v>
      </c>
      <c r="BB8" s="4">
        <f t="shared" si="24"/>
        <v>48000</v>
      </c>
      <c r="BC8" s="5">
        <f t="shared" si="25"/>
        <v>48000</v>
      </c>
      <c r="BD8" s="5">
        <v>4</v>
      </c>
    </row>
    <row r="9" spans="1:57" s="6" customFormat="1">
      <c r="C9" s="7" t="s">
        <v>133</v>
      </c>
      <c r="D9" s="7" t="s">
        <v>56</v>
      </c>
      <c r="E9" s="6" t="s">
        <v>83</v>
      </c>
      <c r="F9" s="6" t="s">
        <v>84</v>
      </c>
      <c r="G9" s="7"/>
      <c r="H9" s="7">
        <v>375725</v>
      </c>
      <c r="I9" s="6">
        <v>5841813202</v>
      </c>
      <c r="J9" s="6" t="s">
        <v>60</v>
      </c>
      <c r="K9" s="7" t="s">
        <v>85</v>
      </c>
      <c r="L9" s="7" t="s">
        <v>73</v>
      </c>
      <c r="M9" s="6" t="s">
        <v>67</v>
      </c>
      <c r="N9" s="6" t="s">
        <v>74</v>
      </c>
      <c r="O9" s="7"/>
      <c r="P9" s="7" t="s">
        <v>69</v>
      </c>
      <c r="Q9" s="6">
        <f t="shared" si="0"/>
        <v>5000</v>
      </c>
      <c r="R9" s="6">
        <f t="shared" si="1"/>
        <v>5000</v>
      </c>
      <c r="S9" s="7">
        <v>5</v>
      </c>
      <c r="T9" s="7">
        <f t="shared" si="2"/>
        <v>5000</v>
      </c>
      <c r="U9" s="6">
        <f t="shared" si="3"/>
        <v>5000</v>
      </c>
      <c r="V9" s="6">
        <v>5</v>
      </c>
      <c r="W9" s="7">
        <f t="shared" si="4"/>
        <v>5000</v>
      </c>
      <c r="X9" s="7">
        <f t="shared" si="5"/>
        <v>5000</v>
      </c>
      <c r="Y9" s="6">
        <v>5</v>
      </c>
      <c r="Z9" s="6">
        <f t="shared" si="6"/>
        <v>5000</v>
      </c>
      <c r="AA9" s="7">
        <f t="shared" si="7"/>
        <v>5000</v>
      </c>
      <c r="AB9" s="7">
        <v>5</v>
      </c>
      <c r="AC9" s="6">
        <f t="shared" si="8"/>
        <v>5000</v>
      </c>
      <c r="AD9" s="6">
        <f t="shared" si="9"/>
        <v>5000</v>
      </c>
      <c r="AE9" s="7">
        <v>5</v>
      </c>
      <c r="AF9" s="7">
        <f t="shared" si="10"/>
        <v>5000</v>
      </c>
      <c r="AG9" s="6">
        <f t="shared" si="11"/>
        <v>5000</v>
      </c>
      <c r="AH9" s="6">
        <v>5</v>
      </c>
      <c r="AI9" s="7">
        <f t="shared" si="12"/>
        <v>5000</v>
      </c>
      <c r="AJ9" s="7">
        <f t="shared" si="13"/>
        <v>5000</v>
      </c>
      <c r="AK9" s="6">
        <v>5</v>
      </c>
      <c r="AL9" s="6">
        <f t="shared" si="14"/>
        <v>5000</v>
      </c>
      <c r="AM9" s="7">
        <f t="shared" si="15"/>
        <v>5000</v>
      </c>
      <c r="AN9" s="7">
        <v>5</v>
      </c>
      <c r="AO9" s="6">
        <f t="shared" si="16"/>
        <v>5000</v>
      </c>
      <c r="AP9" s="6">
        <f t="shared" si="17"/>
        <v>5000</v>
      </c>
      <c r="AQ9" s="7">
        <v>5</v>
      </c>
      <c r="AR9" s="7">
        <f t="shared" si="18"/>
        <v>5000</v>
      </c>
      <c r="AS9" s="6">
        <f t="shared" si="19"/>
        <v>5000</v>
      </c>
      <c r="AT9" s="6">
        <v>5</v>
      </c>
      <c r="AU9" s="7">
        <f t="shared" si="20"/>
        <v>5000</v>
      </c>
      <c r="AV9" s="7">
        <f t="shared" si="21"/>
        <v>5000</v>
      </c>
      <c r="AW9" s="6">
        <v>5</v>
      </c>
      <c r="AX9" s="6">
        <f t="shared" si="22"/>
        <v>5000</v>
      </c>
      <c r="AY9" s="7">
        <f t="shared" si="23"/>
        <v>5000</v>
      </c>
      <c r="AZ9" s="7">
        <v>5</v>
      </c>
      <c r="BA9" s="6">
        <v>0</v>
      </c>
      <c r="BB9" s="6">
        <f t="shared" si="24"/>
        <v>60000</v>
      </c>
      <c r="BC9" s="7">
        <f t="shared" si="25"/>
        <v>60000</v>
      </c>
      <c r="BD9" s="7">
        <v>5</v>
      </c>
    </row>
    <row r="10" spans="1:57" s="4" customFormat="1">
      <c r="C10" s="5" t="s">
        <v>55</v>
      </c>
      <c r="D10" s="5" t="s">
        <v>56</v>
      </c>
      <c r="E10" s="4" t="s">
        <v>86</v>
      </c>
      <c r="F10" s="4" t="s">
        <v>87</v>
      </c>
      <c r="G10" s="5"/>
      <c r="H10" s="5">
        <v>129915</v>
      </c>
      <c r="I10" s="4">
        <v>5841813202</v>
      </c>
      <c r="J10" s="4" t="s">
        <v>60</v>
      </c>
      <c r="K10" s="5" t="s">
        <v>88</v>
      </c>
      <c r="L10" s="5" t="s">
        <v>73</v>
      </c>
      <c r="M10" s="4" t="s">
        <v>67</v>
      </c>
      <c r="N10" s="4" t="s">
        <v>74</v>
      </c>
      <c r="O10" s="5"/>
      <c r="P10" s="5" t="s">
        <v>69</v>
      </c>
      <c r="Q10" s="4">
        <f t="shared" si="0"/>
        <v>5000</v>
      </c>
      <c r="R10" s="4">
        <f t="shared" si="1"/>
        <v>5000</v>
      </c>
      <c r="S10" s="5">
        <v>5</v>
      </c>
      <c r="T10" s="5">
        <f t="shared" si="2"/>
        <v>5000</v>
      </c>
      <c r="U10" s="4">
        <f t="shared" si="3"/>
        <v>5000</v>
      </c>
      <c r="V10" s="4">
        <v>5</v>
      </c>
      <c r="W10" s="5">
        <f t="shared" si="4"/>
        <v>5000</v>
      </c>
      <c r="X10" s="5">
        <f t="shared" si="5"/>
        <v>5000</v>
      </c>
      <c r="Y10" s="4">
        <v>5</v>
      </c>
      <c r="Z10" s="4">
        <f t="shared" si="6"/>
        <v>5000</v>
      </c>
      <c r="AA10" s="5">
        <f t="shared" si="7"/>
        <v>5000</v>
      </c>
      <c r="AB10" s="5">
        <v>5</v>
      </c>
      <c r="AC10" s="4">
        <f t="shared" si="8"/>
        <v>5000</v>
      </c>
      <c r="AD10" s="4">
        <f t="shared" si="9"/>
        <v>5000</v>
      </c>
      <c r="AE10" s="5">
        <v>5</v>
      </c>
      <c r="AF10" s="5">
        <f t="shared" si="10"/>
        <v>5000</v>
      </c>
      <c r="AG10" s="4">
        <f t="shared" si="11"/>
        <v>5000</v>
      </c>
      <c r="AH10" s="4">
        <v>5</v>
      </c>
      <c r="AI10" s="5">
        <f t="shared" si="12"/>
        <v>5000</v>
      </c>
      <c r="AJ10" s="5">
        <f t="shared" si="13"/>
        <v>5000</v>
      </c>
      <c r="AK10" s="4">
        <v>5</v>
      </c>
      <c r="AL10" s="4">
        <f t="shared" si="14"/>
        <v>5000</v>
      </c>
      <c r="AM10" s="5">
        <f t="shared" si="15"/>
        <v>5000</v>
      </c>
      <c r="AN10" s="5">
        <v>5</v>
      </c>
      <c r="AO10" s="4">
        <f t="shared" si="16"/>
        <v>5000</v>
      </c>
      <c r="AP10" s="4">
        <f t="shared" si="17"/>
        <v>5000</v>
      </c>
      <c r="AQ10" s="5">
        <v>5</v>
      </c>
      <c r="AR10" s="5">
        <f t="shared" si="18"/>
        <v>5000</v>
      </c>
      <c r="AS10" s="4">
        <f t="shared" si="19"/>
        <v>5000</v>
      </c>
      <c r="AT10" s="4">
        <v>5</v>
      </c>
      <c r="AU10" s="5">
        <f t="shared" si="20"/>
        <v>5000</v>
      </c>
      <c r="AV10" s="5">
        <f t="shared" si="21"/>
        <v>5000</v>
      </c>
      <c r="AW10" s="4">
        <v>5</v>
      </c>
      <c r="AX10" s="4">
        <f t="shared" si="22"/>
        <v>5000</v>
      </c>
      <c r="AY10" s="5">
        <f t="shared" si="23"/>
        <v>5000</v>
      </c>
      <c r="AZ10" s="5">
        <v>5</v>
      </c>
      <c r="BA10" s="4">
        <v>0</v>
      </c>
      <c r="BB10" s="4">
        <f t="shared" si="24"/>
        <v>60000</v>
      </c>
      <c r="BC10" s="5">
        <f t="shared" si="25"/>
        <v>60000</v>
      </c>
      <c r="BD10" s="5">
        <v>5</v>
      </c>
    </row>
    <row r="11" spans="1:57" s="6" customFormat="1">
      <c r="C11" s="7" t="s">
        <v>133</v>
      </c>
      <c r="D11" s="7" t="s">
        <v>56</v>
      </c>
      <c r="E11" s="6" t="s">
        <v>89</v>
      </c>
      <c r="F11" s="6" t="s">
        <v>90</v>
      </c>
      <c r="G11" s="7"/>
      <c r="H11" s="7">
        <v>38617004</v>
      </c>
      <c r="I11" s="6">
        <v>5841813202</v>
      </c>
      <c r="J11" s="6" t="s">
        <v>60</v>
      </c>
      <c r="K11" s="7" t="s">
        <v>91</v>
      </c>
      <c r="L11" s="7" t="s">
        <v>73</v>
      </c>
      <c r="M11" s="6" t="s">
        <v>79</v>
      </c>
      <c r="N11" s="6" t="s">
        <v>74</v>
      </c>
      <c r="O11" s="7"/>
      <c r="P11" s="7" t="s">
        <v>69</v>
      </c>
      <c r="Q11" s="6">
        <f t="shared" si="0"/>
        <v>7000</v>
      </c>
      <c r="R11" s="6">
        <f t="shared" si="1"/>
        <v>7000</v>
      </c>
      <c r="S11" s="7">
        <v>7</v>
      </c>
      <c r="T11" s="7">
        <f t="shared" si="2"/>
        <v>7000</v>
      </c>
      <c r="U11" s="6">
        <f t="shared" si="3"/>
        <v>7000</v>
      </c>
      <c r="V11" s="6">
        <v>7</v>
      </c>
      <c r="W11" s="7">
        <f t="shared" si="4"/>
        <v>7000</v>
      </c>
      <c r="X11" s="7">
        <f t="shared" si="5"/>
        <v>7000</v>
      </c>
      <c r="Y11" s="6">
        <v>7</v>
      </c>
      <c r="Z11" s="6">
        <f t="shared" si="6"/>
        <v>7000</v>
      </c>
      <c r="AA11" s="7">
        <f t="shared" si="7"/>
        <v>7000</v>
      </c>
      <c r="AB11" s="7">
        <v>7</v>
      </c>
      <c r="AC11" s="6">
        <f t="shared" si="8"/>
        <v>7000</v>
      </c>
      <c r="AD11" s="6">
        <f t="shared" si="9"/>
        <v>7000</v>
      </c>
      <c r="AE11" s="7">
        <v>7</v>
      </c>
      <c r="AF11" s="7">
        <f t="shared" si="10"/>
        <v>7000</v>
      </c>
      <c r="AG11" s="6">
        <f t="shared" si="11"/>
        <v>7000</v>
      </c>
      <c r="AH11" s="6">
        <v>7</v>
      </c>
      <c r="AI11" s="7">
        <f t="shared" si="12"/>
        <v>7000</v>
      </c>
      <c r="AJ11" s="7">
        <f t="shared" si="13"/>
        <v>7000</v>
      </c>
      <c r="AK11" s="6">
        <v>7</v>
      </c>
      <c r="AL11" s="6">
        <f t="shared" si="14"/>
        <v>7000</v>
      </c>
      <c r="AM11" s="7">
        <f t="shared" si="15"/>
        <v>7000</v>
      </c>
      <c r="AN11" s="7">
        <v>7</v>
      </c>
      <c r="AO11" s="6">
        <f t="shared" si="16"/>
        <v>7000</v>
      </c>
      <c r="AP11" s="6">
        <f t="shared" si="17"/>
        <v>7000</v>
      </c>
      <c r="AQ11" s="7">
        <v>7</v>
      </c>
      <c r="AR11" s="7">
        <f t="shared" si="18"/>
        <v>7000</v>
      </c>
      <c r="AS11" s="6">
        <f t="shared" si="19"/>
        <v>7000</v>
      </c>
      <c r="AT11" s="6">
        <v>7</v>
      </c>
      <c r="AU11" s="7">
        <f t="shared" si="20"/>
        <v>7000</v>
      </c>
      <c r="AV11" s="7">
        <f t="shared" si="21"/>
        <v>7000</v>
      </c>
      <c r="AW11" s="6">
        <v>7</v>
      </c>
      <c r="AX11" s="6">
        <f t="shared" si="22"/>
        <v>7000</v>
      </c>
      <c r="AY11" s="7">
        <f t="shared" si="23"/>
        <v>7000</v>
      </c>
      <c r="AZ11" s="7">
        <v>7</v>
      </c>
      <c r="BA11" s="6">
        <v>0</v>
      </c>
      <c r="BB11" s="6">
        <f t="shared" si="24"/>
        <v>84000</v>
      </c>
      <c r="BC11" s="7">
        <f t="shared" si="25"/>
        <v>84000</v>
      </c>
      <c r="BD11" s="7">
        <v>7</v>
      </c>
    </row>
    <row r="12" spans="1:57" s="4" customFormat="1">
      <c r="C12" s="5" t="s">
        <v>55</v>
      </c>
      <c r="D12" s="5" t="s">
        <v>56</v>
      </c>
      <c r="E12" s="4" t="s">
        <v>57</v>
      </c>
      <c r="F12" s="4" t="s">
        <v>92</v>
      </c>
      <c r="G12" s="5"/>
      <c r="H12" s="5">
        <v>38617008</v>
      </c>
      <c r="I12" s="4">
        <v>5841813202</v>
      </c>
      <c r="J12" s="4" t="s">
        <v>60</v>
      </c>
      <c r="K12" s="5" t="s">
        <v>93</v>
      </c>
      <c r="L12" s="5" t="s">
        <v>73</v>
      </c>
      <c r="M12" s="4" t="s">
        <v>79</v>
      </c>
      <c r="N12" s="4" t="s">
        <v>74</v>
      </c>
      <c r="O12" s="5"/>
      <c r="P12" s="5" t="s">
        <v>69</v>
      </c>
      <c r="Q12" s="4">
        <f t="shared" si="0"/>
        <v>4000</v>
      </c>
      <c r="R12" s="4">
        <f t="shared" si="1"/>
        <v>4000</v>
      </c>
      <c r="S12" s="5">
        <v>4</v>
      </c>
      <c r="T12" s="5">
        <f t="shared" si="2"/>
        <v>4000</v>
      </c>
      <c r="U12" s="4">
        <f t="shared" si="3"/>
        <v>4000</v>
      </c>
      <c r="V12" s="4">
        <v>4</v>
      </c>
      <c r="W12" s="5">
        <f t="shared" si="4"/>
        <v>4000</v>
      </c>
      <c r="X12" s="5">
        <f t="shared" si="5"/>
        <v>4000</v>
      </c>
      <c r="Y12" s="4">
        <v>4</v>
      </c>
      <c r="Z12" s="4">
        <f t="shared" si="6"/>
        <v>4000</v>
      </c>
      <c r="AA12" s="5">
        <f t="shared" si="7"/>
        <v>4000</v>
      </c>
      <c r="AB12" s="5">
        <v>4</v>
      </c>
      <c r="AC12" s="4">
        <f t="shared" si="8"/>
        <v>4000</v>
      </c>
      <c r="AD12" s="4">
        <f t="shared" si="9"/>
        <v>4000</v>
      </c>
      <c r="AE12" s="5">
        <v>4</v>
      </c>
      <c r="AF12" s="5">
        <f t="shared" si="10"/>
        <v>4000</v>
      </c>
      <c r="AG12" s="4">
        <f t="shared" si="11"/>
        <v>4000</v>
      </c>
      <c r="AH12" s="4">
        <v>4</v>
      </c>
      <c r="AI12" s="5">
        <f t="shared" si="12"/>
        <v>4000</v>
      </c>
      <c r="AJ12" s="5">
        <f t="shared" si="13"/>
        <v>4000</v>
      </c>
      <c r="AK12" s="4">
        <v>4</v>
      </c>
      <c r="AL12" s="4">
        <f t="shared" si="14"/>
        <v>4000</v>
      </c>
      <c r="AM12" s="5">
        <f t="shared" si="15"/>
        <v>4000</v>
      </c>
      <c r="AN12" s="5">
        <v>4</v>
      </c>
      <c r="AO12" s="4">
        <f t="shared" si="16"/>
        <v>4000</v>
      </c>
      <c r="AP12" s="4">
        <f t="shared" si="17"/>
        <v>4000</v>
      </c>
      <c r="AQ12" s="5">
        <v>4</v>
      </c>
      <c r="AR12" s="5">
        <f t="shared" si="18"/>
        <v>4000</v>
      </c>
      <c r="AS12" s="4">
        <f t="shared" si="19"/>
        <v>4000</v>
      </c>
      <c r="AT12" s="4">
        <v>4</v>
      </c>
      <c r="AU12" s="5">
        <f t="shared" si="20"/>
        <v>4000</v>
      </c>
      <c r="AV12" s="5">
        <f t="shared" si="21"/>
        <v>4000</v>
      </c>
      <c r="AW12" s="4">
        <v>4</v>
      </c>
      <c r="AX12" s="4">
        <f t="shared" si="22"/>
        <v>4000</v>
      </c>
      <c r="AY12" s="5">
        <f t="shared" si="23"/>
        <v>4000</v>
      </c>
      <c r="AZ12" s="5">
        <v>4</v>
      </c>
      <c r="BA12" s="4">
        <v>0</v>
      </c>
      <c r="BB12" s="4">
        <f t="shared" si="24"/>
        <v>48000</v>
      </c>
      <c r="BC12" s="5">
        <f t="shared" si="25"/>
        <v>48000</v>
      </c>
      <c r="BD12" s="5">
        <v>4</v>
      </c>
    </row>
    <row r="13" spans="1:57" s="6" customFormat="1">
      <c r="B13" s="6" t="s">
        <v>69</v>
      </c>
      <c r="C13" s="7" t="s">
        <v>133</v>
      </c>
      <c r="D13" s="7" t="s">
        <v>56</v>
      </c>
      <c r="E13" s="6" t="s">
        <v>57</v>
      </c>
      <c r="F13" s="6" t="s">
        <v>94</v>
      </c>
      <c r="G13" s="7" t="s">
        <v>69</v>
      </c>
      <c r="H13" s="7">
        <v>36617001</v>
      </c>
      <c r="I13" s="6">
        <v>5841813202</v>
      </c>
      <c r="J13" s="6" t="s">
        <v>60</v>
      </c>
      <c r="K13" s="7" t="s">
        <v>95</v>
      </c>
      <c r="L13" s="7" t="s">
        <v>73</v>
      </c>
      <c r="M13" s="6" t="s">
        <v>79</v>
      </c>
      <c r="N13" s="6" t="s">
        <v>74</v>
      </c>
      <c r="O13" s="7"/>
      <c r="P13" s="7" t="s">
        <v>69</v>
      </c>
      <c r="Q13" s="6">
        <f t="shared" si="0"/>
        <v>6000</v>
      </c>
      <c r="R13" s="6">
        <f t="shared" si="1"/>
        <v>6000</v>
      </c>
      <c r="S13" s="7">
        <v>6</v>
      </c>
      <c r="T13" s="7">
        <f t="shared" si="2"/>
        <v>6000</v>
      </c>
      <c r="U13" s="6">
        <f t="shared" si="3"/>
        <v>6000</v>
      </c>
      <c r="V13" s="6">
        <v>6</v>
      </c>
      <c r="W13" s="7">
        <f t="shared" si="4"/>
        <v>6000</v>
      </c>
      <c r="X13" s="7">
        <f t="shared" si="5"/>
        <v>6000</v>
      </c>
      <c r="Y13" s="6">
        <v>6</v>
      </c>
      <c r="Z13" s="6">
        <f t="shared" si="6"/>
        <v>6000</v>
      </c>
      <c r="AA13" s="7">
        <f t="shared" si="7"/>
        <v>6000</v>
      </c>
      <c r="AB13" s="7">
        <v>6</v>
      </c>
      <c r="AC13" s="6">
        <f t="shared" si="8"/>
        <v>6000</v>
      </c>
      <c r="AD13" s="6">
        <f t="shared" si="9"/>
        <v>6000</v>
      </c>
      <c r="AE13" s="7">
        <v>6</v>
      </c>
      <c r="AF13" s="7">
        <f t="shared" si="10"/>
        <v>6000</v>
      </c>
      <c r="AG13" s="6">
        <f t="shared" si="11"/>
        <v>6000</v>
      </c>
      <c r="AH13" s="6">
        <v>6</v>
      </c>
      <c r="AI13" s="7">
        <f t="shared" si="12"/>
        <v>6000</v>
      </c>
      <c r="AJ13" s="7">
        <f t="shared" si="13"/>
        <v>6000</v>
      </c>
      <c r="AK13" s="6">
        <v>6</v>
      </c>
      <c r="AL13" s="6">
        <f t="shared" si="14"/>
        <v>6000</v>
      </c>
      <c r="AM13" s="7">
        <f t="shared" si="15"/>
        <v>6000</v>
      </c>
      <c r="AN13" s="7">
        <v>6</v>
      </c>
      <c r="AO13" s="6">
        <f t="shared" si="16"/>
        <v>6000</v>
      </c>
      <c r="AP13" s="6">
        <f t="shared" si="17"/>
        <v>6000</v>
      </c>
      <c r="AQ13" s="7">
        <v>6</v>
      </c>
      <c r="AR13" s="7">
        <f t="shared" si="18"/>
        <v>6000</v>
      </c>
      <c r="AS13" s="6">
        <f t="shared" si="19"/>
        <v>6000</v>
      </c>
      <c r="AT13" s="6">
        <v>6</v>
      </c>
      <c r="AU13" s="7">
        <f t="shared" si="20"/>
        <v>6000</v>
      </c>
      <c r="AV13" s="7">
        <f t="shared" si="21"/>
        <v>6000</v>
      </c>
      <c r="AW13" s="6">
        <v>6</v>
      </c>
      <c r="AX13" s="6">
        <f t="shared" si="22"/>
        <v>6000</v>
      </c>
      <c r="AY13" s="7">
        <f t="shared" si="23"/>
        <v>6000</v>
      </c>
      <c r="AZ13" s="7">
        <v>6</v>
      </c>
      <c r="BA13" s="6">
        <v>0</v>
      </c>
      <c r="BB13" s="6">
        <f t="shared" si="24"/>
        <v>72000</v>
      </c>
      <c r="BC13" s="7">
        <f t="shared" si="25"/>
        <v>72000</v>
      </c>
      <c r="BD13" s="7">
        <v>6</v>
      </c>
    </row>
    <row r="14" spans="1:57" s="4" customFormat="1">
      <c r="C14" s="5" t="s">
        <v>55</v>
      </c>
      <c r="D14" s="5" t="s">
        <v>56</v>
      </c>
      <c r="E14" s="4" t="s">
        <v>80</v>
      </c>
      <c r="F14" s="4" t="s">
        <v>96</v>
      </c>
      <c r="G14" s="5" t="s">
        <v>69</v>
      </c>
      <c r="H14" s="5">
        <v>36617009</v>
      </c>
      <c r="I14" s="4">
        <v>5841993202</v>
      </c>
      <c r="J14" s="4" t="s">
        <v>60</v>
      </c>
      <c r="K14" s="5" t="s">
        <v>97</v>
      </c>
      <c r="L14" s="5" t="s">
        <v>73</v>
      </c>
      <c r="M14" s="4" t="s">
        <v>79</v>
      </c>
      <c r="N14" s="4" t="s">
        <v>74</v>
      </c>
      <c r="O14" s="5"/>
      <c r="P14" s="5" t="s">
        <v>69</v>
      </c>
      <c r="Q14" s="4">
        <f t="shared" si="0"/>
        <v>7000</v>
      </c>
      <c r="R14" s="4">
        <f t="shared" si="1"/>
        <v>7000</v>
      </c>
      <c r="S14" s="5">
        <v>7</v>
      </c>
      <c r="T14" s="5">
        <f t="shared" si="2"/>
        <v>7000</v>
      </c>
      <c r="U14" s="4">
        <f t="shared" si="3"/>
        <v>7000</v>
      </c>
      <c r="V14" s="4">
        <v>7</v>
      </c>
      <c r="W14" s="5">
        <f t="shared" si="4"/>
        <v>7000</v>
      </c>
      <c r="X14" s="5">
        <f t="shared" si="5"/>
        <v>7000</v>
      </c>
      <c r="Y14" s="4">
        <v>7</v>
      </c>
      <c r="Z14" s="4">
        <f t="shared" si="6"/>
        <v>7000</v>
      </c>
      <c r="AA14" s="5">
        <f t="shared" si="7"/>
        <v>7000</v>
      </c>
      <c r="AB14" s="5">
        <v>7</v>
      </c>
      <c r="AC14" s="4">
        <f t="shared" si="8"/>
        <v>7000</v>
      </c>
      <c r="AD14" s="4">
        <f t="shared" si="9"/>
        <v>7000</v>
      </c>
      <c r="AE14" s="5">
        <v>7</v>
      </c>
      <c r="AF14" s="5">
        <f t="shared" si="10"/>
        <v>7000</v>
      </c>
      <c r="AG14" s="4">
        <f t="shared" si="11"/>
        <v>7000</v>
      </c>
      <c r="AH14" s="4">
        <v>7</v>
      </c>
      <c r="AI14" s="5">
        <f t="shared" si="12"/>
        <v>7000</v>
      </c>
      <c r="AJ14" s="5">
        <f t="shared" si="13"/>
        <v>7000</v>
      </c>
      <c r="AK14" s="4">
        <v>7</v>
      </c>
      <c r="AL14" s="4">
        <f t="shared" si="14"/>
        <v>7000</v>
      </c>
      <c r="AM14" s="5">
        <f t="shared" si="15"/>
        <v>7000</v>
      </c>
      <c r="AN14" s="5">
        <v>7</v>
      </c>
      <c r="AO14" s="4">
        <f t="shared" si="16"/>
        <v>7000</v>
      </c>
      <c r="AP14" s="4">
        <f t="shared" si="17"/>
        <v>7000</v>
      </c>
      <c r="AQ14" s="5">
        <v>7</v>
      </c>
      <c r="AR14" s="5">
        <f t="shared" si="18"/>
        <v>7000</v>
      </c>
      <c r="AS14" s="4">
        <f t="shared" si="19"/>
        <v>7000</v>
      </c>
      <c r="AT14" s="4">
        <v>7</v>
      </c>
      <c r="AU14" s="5">
        <f t="shared" si="20"/>
        <v>7000</v>
      </c>
      <c r="AV14" s="5">
        <f t="shared" si="21"/>
        <v>7000</v>
      </c>
      <c r="AW14" s="4">
        <v>7</v>
      </c>
      <c r="AX14" s="4">
        <f t="shared" si="22"/>
        <v>7000</v>
      </c>
      <c r="AY14" s="5">
        <f t="shared" si="23"/>
        <v>7000</v>
      </c>
      <c r="AZ14" s="5">
        <v>7</v>
      </c>
      <c r="BA14" s="4">
        <v>0</v>
      </c>
      <c r="BB14" s="4">
        <f t="shared" si="24"/>
        <v>84000</v>
      </c>
      <c r="BC14" s="5">
        <f t="shared" si="25"/>
        <v>84000</v>
      </c>
      <c r="BD14" s="5">
        <v>7</v>
      </c>
    </row>
    <row r="15" spans="1:57" s="6" customFormat="1">
      <c r="C15" s="7" t="s">
        <v>133</v>
      </c>
      <c r="D15" s="7" t="s">
        <v>56</v>
      </c>
      <c r="E15" s="6" t="s">
        <v>86</v>
      </c>
      <c r="F15" s="6" t="s">
        <v>98</v>
      </c>
      <c r="G15" s="7" t="s">
        <v>69</v>
      </c>
      <c r="H15" s="7">
        <v>38617007</v>
      </c>
      <c r="I15" s="6">
        <v>5842073202</v>
      </c>
      <c r="J15" s="6" t="s">
        <v>60</v>
      </c>
      <c r="K15" s="7" t="s">
        <v>99</v>
      </c>
      <c r="L15" s="7" t="s">
        <v>73</v>
      </c>
      <c r="M15" s="6" t="s">
        <v>79</v>
      </c>
      <c r="N15" s="6" t="s">
        <v>74</v>
      </c>
      <c r="O15" s="7"/>
      <c r="P15" s="7" t="s">
        <v>69</v>
      </c>
      <c r="Q15" s="6">
        <f t="shared" si="0"/>
        <v>6000</v>
      </c>
      <c r="R15" s="6">
        <f t="shared" si="1"/>
        <v>6000</v>
      </c>
      <c r="S15" s="7">
        <v>6</v>
      </c>
      <c r="T15" s="7">
        <f t="shared" si="2"/>
        <v>6000</v>
      </c>
      <c r="U15" s="6">
        <f t="shared" si="3"/>
        <v>6000</v>
      </c>
      <c r="V15" s="6">
        <v>6</v>
      </c>
      <c r="W15" s="7">
        <f t="shared" si="4"/>
        <v>6000</v>
      </c>
      <c r="X15" s="7">
        <f t="shared" si="5"/>
        <v>6000</v>
      </c>
      <c r="Y15" s="6">
        <v>6</v>
      </c>
      <c r="Z15" s="6">
        <f t="shared" si="6"/>
        <v>6000</v>
      </c>
      <c r="AA15" s="7">
        <f t="shared" si="7"/>
        <v>6000</v>
      </c>
      <c r="AB15" s="7">
        <v>6</v>
      </c>
      <c r="AC15" s="6">
        <f t="shared" si="8"/>
        <v>6000</v>
      </c>
      <c r="AD15" s="6">
        <f t="shared" si="9"/>
        <v>6000</v>
      </c>
      <c r="AE15" s="7">
        <v>6</v>
      </c>
      <c r="AF15" s="7">
        <f t="shared" si="10"/>
        <v>6000</v>
      </c>
      <c r="AG15" s="6">
        <f t="shared" si="11"/>
        <v>6000</v>
      </c>
      <c r="AH15" s="6">
        <v>6</v>
      </c>
      <c r="AI15" s="7">
        <f t="shared" si="12"/>
        <v>6000</v>
      </c>
      <c r="AJ15" s="7">
        <f t="shared" si="13"/>
        <v>6000</v>
      </c>
      <c r="AK15" s="6">
        <v>6</v>
      </c>
      <c r="AL15" s="6">
        <f t="shared" si="14"/>
        <v>6000</v>
      </c>
      <c r="AM15" s="7">
        <f t="shared" si="15"/>
        <v>6000</v>
      </c>
      <c r="AN15" s="7">
        <v>6</v>
      </c>
      <c r="AO15" s="6">
        <f t="shared" si="16"/>
        <v>6000</v>
      </c>
      <c r="AP15" s="6">
        <f t="shared" si="17"/>
        <v>6000</v>
      </c>
      <c r="AQ15" s="7">
        <v>6</v>
      </c>
      <c r="AR15" s="7">
        <f t="shared" si="18"/>
        <v>6000</v>
      </c>
      <c r="AS15" s="6">
        <f t="shared" si="19"/>
        <v>6000</v>
      </c>
      <c r="AT15" s="6">
        <v>6</v>
      </c>
      <c r="AU15" s="7">
        <f t="shared" si="20"/>
        <v>6000</v>
      </c>
      <c r="AV15" s="7">
        <f t="shared" si="21"/>
        <v>6000</v>
      </c>
      <c r="AW15" s="6">
        <v>6</v>
      </c>
      <c r="AX15" s="6">
        <f t="shared" si="22"/>
        <v>6000</v>
      </c>
      <c r="AY15" s="7">
        <f t="shared" si="23"/>
        <v>6000</v>
      </c>
      <c r="AZ15" s="7">
        <v>6</v>
      </c>
      <c r="BA15" s="6">
        <v>0</v>
      </c>
      <c r="BB15" s="6">
        <f t="shared" si="24"/>
        <v>72000</v>
      </c>
      <c r="BC15" s="7">
        <f t="shared" si="25"/>
        <v>72000</v>
      </c>
      <c r="BD15" s="7">
        <v>6</v>
      </c>
    </row>
    <row r="16" spans="1:57" s="4" customFormat="1">
      <c r="C16" s="5" t="s">
        <v>55</v>
      </c>
      <c r="D16" s="5" t="s">
        <v>56</v>
      </c>
      <c r="E16" s="4" t="s">
        <v>63</v>
      </c>
      <c r="F16" s="4" t="s">
        <v>100</v>
      </c>
      <c r="G16" s="5" t="s">
        <v>69</v>
      </c>
      <c r="H16" s="5">
        <v>36617003</v>
      </c>
      <c r="I16" s="4">
        <v>5842213202</v>
      </c>
      <c r="J16" s="4" t="s">
        <v>60</v>
      </c>
      <c r="K16" s="5" t="s">
        <v>101</v>
      </c>
      <c r="L16" s="5" t="s">
        <v>73</v>
      </c>
      <c r="M16" s="4" t="s">
        <v>79</v>
      </c>
      <c r="N16" s="4" t="s">
        <v>74</v>
      </c>
      <c r="O16" s="5"/>
      <c r="P16" s="5" t="s">
        <v>69</v>
      </c>
      <c r="Q16" s="4">
        <f t="shared" si="0"/>
        <v>5000</v>
      </c>
      <c r="R16" s="4">
        <f t="shared" si="1"/>
        <v>5000</v>
      </c>
      <c r="S16" s="5">
        <v>5</v>
      </c>
      <c r="T16" s="5">
        <f t="shared" si="2"/>
        <v>5000</v>
      </c>
      <c r="U16" s="4">
        <f t="shared" si="3"/>
        <v>5000</v>
      </c>
      <c r="V16" s="4">
        <v>5</v>
      </c>
      <c r="W16" s="5">
        <f t="shared" si="4"/>
        <v>5000</v>
      </c>
      <c r="X16" s="5">
        <f t="shared" si="5"/>
        <v>5000</v>
      </c>
      <c r="Y16" s="4">
        <v>5</v>
      </c>
      <c r="Z16" s="4">
        <f t="shared" si="6"/>
        <v>5000</v>
      </c>
      <c r="AA16" s="5">
        <f t="shared" si="7"/>
        <v>5000</v>
      </c>
      <c r="AB16" s="5">
        <v>5</v>
      </c>
      <c r="AC16" s="4">
        <f t="shared" si="8"/>
        <v>5000</v>
      </c>
      <c r="AD16" s="4">
        <f t="shared" si="9"/>
        <v>5000</v>
      </c>
      <c r="AE16" s="5">
        <v>5</v>
      </c>
      <c r="AF16" s="5">
        <f t="shared" si="10"/>
        <v>5000</v>
      </c>
      <c r="AG16" s="4">
        <f t="shared" si="11"/>
        <v>5000</v>
      </c>
      <c r="AH16" s="4">
        <v>5</v>
      </c>
      <c r="AI16" s="5">
        <f t="shared" si="12"/>
        <v>5000</v>
      </c>
      <c r="AJ16" s="5">
        <f t="shared" si="13"/>
        <v>5000</v>
      </c>
      <c r="AK16" s="4">
        <v>5</v>
      </c>
      <c r="AL16" s="4">
        <f t="shared" si="14"/>
        <v>5000</v>
      </c>
      <c r="AM16" s="5">
        <f t="shared" si="15"/>
        <v>5000</v>
      </c>
      <c r="AN16" s="5">
        <v>5</v>
      </c>
      <c r="AO16" s="4">
        <f t="shared" si="16"/>
        <v>5000</v>
      </c>
      <c r="AP16" s="4">
        <f t="shared" si="17"/>
        <v>5000</v>
      </c>
      <c r="AQ16" s="5">
        <v>5</v>
      </c>
      <c r="AR16" s="5">
        <f t="shared" si="18"/>
        <v>5000</v>
      </c>
      <c r="AS16" s="4">
        <f t="shared" si="19"/>
        <v>5000</v>
      </c>
      <c r="AT16" s="4">
        <v>5</v>
      </c>
      <c r="AU16" s="5">
        <f t="shared" si="20"/>
        <v>5000</v>
      </c>
      <c r="AV16" s="5">
        <f t="shared" si="21"/>
        <v>5000</v>
      </c>
      <c r="AW16" s="4">
        <v>5</v>
      </c>
      <c r="AX16" s="4">
        <f t="shared" si="22"/>
        <v>5000</v>
      </c>
      <c r="AY16" s="5">
        <f t="shared" si="23"/>
        <v>5000</v>
      </c>
      <c r="AZ16" s="5">
        <v>5</v>
      </c>
      <c r="BA16" s="4">
        <v>0</v>
      </c>
      <c r="BB16" s="4">
        <f t="shared" si="24"/>
        <v>60000</v>
      </c>
      <c r="BC16" s="5">
        <f t="shared" si="25"/>
        <v>60000</v>
      </c>
      <c r="BD16" s="5">
        <v>5</v>
      </c>
    </row>
    <row r="17" spans="1:57" s="6" customFormat="1">
      <c r="C17" s="7" t="s">
        <v>133</v>
      </c>
      <c r="D17" s="7" t="s">
        <v>56</v>
      </c>
      <c r="E17" s="6" t="s">
        <v>102</v>
      </c>
      <c r="F17" s="6" t="s">
        <v>103</v>
      </c>
      <c r="G17" s="7"/>
      <c r="H17" s="7" t="s">
        <v>104</v>
      </c>
      <c r="I17" s="6" t="s">
        <v>104</v>
      </c>
      <c r="J17" s="6" t="s">
        <v>60</v>
      </c>
      <c r="K17" s="7" t="s">
        <v>104</v>
      </c>
      <c r="L17" s="7" t="s">
        <v>78</v>
      </c>
      <c r="M17" s="6" t="s">
        <v>79</v>
      </c>
      <c r="N17" s="6" t="s">
        <v>74</v>
      </c>
      <c r="O17" s="7"/>
      <c r="P17" s="7" t="s">
        <v>69</v>
      </c>
      <c r="Q17" s="6">
        <f t="shared" si="0"/>
        <v>4000</v>
      </c>
      <c r="R17" s="6">
        <f t="shared" si="1"/>
        <v>4000</v>
      </c>
      <c r="S17" s="7">
        <v>4</v>
      </c>
      <c r="T17" s="7">
        <f t="shared" si="2"/>
        <v>4000</v>
      </c>
      <c r="U17" s="6">
        <f t="shared" si="3"/>
        <v>4000</v>
      </c>
      <c r="V17" s="6">
        <v>4</v>
      </c>
      <c r="W17" s="7">
        <f t="shared" si="4"/>
        <v>4000</v>
      </c>
      <c r="X17" s="7">
        <f t="shared" si="5"/>
        <v>4000</v>
      </c>
      <c r="Y17" s="6">
        <v>4</v>
      </c>
      <c r="Z17" s="6">
        <f t="shared" si="6"/>
        <v>4000</v>
      </c>
      <c r="AA17" s="7">
        <f t="shared" si="7"/>
        <v>4000</v>
      </c>
      <c r="AB17" s="7">
        <v>4</v>
      </c>
      <c r="AC17" s="6">
        <f t="shared" si="8"/>
        <v>4000</v>
      </c>
      <c r="AD17" s="6">
        <f t="shared" si="9"/>
        <v>4000</v>
      </c>
      <c r="AE17" s="7">
        <v>4</v>
      </c>
      <c r="AF17" s="7">
        <f t="shared" si="10"/>
        <v>4000</v>
      </c>
      <c r="AG17" s="6">
        <f t="shared" si="11"/>
        <v>4000</v>
      </c>
      <c r="AH17" s="6">
        <v>4</v>
      </c>
      <c r="AI17" s="7">
        <f t="shared" si="12"/>
        <v>4000</v>
      </c>
      <c r="AJ17" s="7">
        <f t="shared" si="13"/>
        <v>4000</v>
      </c>
      <c r="AK17" s="6">
        <v>4</v>
      </c>
      <c r="AL17" s="6">
        <f t="shared" si="14"/>
        <v>4000</v>
      </c>
      <c r="AM17" s="7">
        <f t="shared" si="15"/>
        <v>4000</v>
      </c>
      <c r="AN17" s="7">
        <v>4</v>
      </c>
      <c r="AO17" s="6">
        <f t="shared" si="16"/>
        <v>4000</v>
      </c>
      <c r="AP17" s="6">
        <f t="shared" si="17"/>
        <v>4000</v>
      </c>
      <c r="AQ17" s="7">
        <v>4</v>
      </c>
      <c r="AR17" s="7">
        <f t="shared" si="18"/>
        <v>4000</v>
      </c>
      <c r="AS17" s="6">
        <f t="shared" si="19"/>
        <v>4000</v>
      </c>
      <c r="AT17" s="6">
        <v>4</v>
      </c>
      <c r="AU17" s="7">
        <f t="shared" si="20"/>
        <v>4000</v>
      </c>
      <c r="AV17" s="7">
        <f t="shared" si="21"/>
        <v>4000</v>
      </c>
      <c r="AW17" s="6">
        <v>4</v>
      </c>
      <c r="AX17" s="6">
        <f t="shared" si="22"/>
        <v>4000</v>
      </c>
      <c r="AY17" s="7">
        <f t="shared" si="23"/>
        <v>4000</v>
      </c>
      <c r="AZ17" s="7">
        <v>4</v>
      </c>
      <c r="BA17" s="6">
        <v>0</v>
      </c>
      <c r="BB17" s="6">
        <f t="shared" si="24"/>
        <v>48000</v>
      </c>
      <c r="BC17" s="7">
        <f t="shared" si="25"/>
        <v>48000</v>
      </c>
      <c r="BD17" s="7">
        <v>4</v>
      </c>
    </row>
    <row r="18" spans="1:57" s="4" customFormat="1">
      <c r="A18" s="4" t="s">
        <v>69</v>
      </c>
      <c r="C18" s="5" t="s">
        <v>132</v>
      </c>
      <c r="D18" s="5" t="s">
        <v>56</v>
      </c>
      <c r="E18" s="4" t="s">
        <v>105</v>
      </c>
      <c r="F18" s="4" t="s">
        <v>106</v>
      </c>
      <c r="G18" s="5"/>
      <c r="H18" s="5" t="s">
        <v>107</v>
      </c>
      <c r="I18" s="4">
        <v>5842263202</v>
      </c>
      <c r="J18" s="4" t="s">
        <v>60</v>
      </c>
      <c r="K18" s="5" t="s">
        <v>107</v>
      </c>
      <c r="L18" s="5" t="s">
        <v>66</v>
      </c>
      <c r="M18" s="4" t="s">
        <v>79</v>
      </c>
      <c r="N18" s="4" t="s">
        <v>74</v>
      </c>
      <c r="O18" s="5"/>
      <c r="P18" s="5" t="s">
        <v>69</v>
      </c>
      <c r="Q18" s="4">
        <f t="shared" si="0"/>
        <v>5000</v>
      </c>
      <c r="R18" s="4">
        <f t="shared" si="1"/>
        <v>5000</v>
      </c>
      <c r="S18" s="5">
        <v>5</v>
      </c>
      <c r="T18" s="5">
        <f t="shared" si="2"/>
        <v>5000</v>
      </c>
      <c r="U18" s="4">
        <f t="shared" si="3"/>
        <v>5000</v>
      </c>
      <c r="V18" s="4">
        <v>5</v>
      </c>
      <c r="W18" s="5">
        <f t="shared" si="4"/>
        <v>5000</v>
      </c>
      <c r="X18" s="5">
        <f t="shared" si="5"/>
        <v>5000</v>
      </c>
      <c r="Y18" s="4">
        <v>5</v>
      </c>
      <c r="Z18" s="4">
        <f t="shared" si="6"/>
        <v>5000</v>
      </c>
      <c r="AA18" s="5">
        <f t="shared" si="7"/>
        <v>5000</v>
      </c>
      <c r="AB18" s="5">
        <v>5</v>
      </c>
      <c r="AC18" s="4">
        <f t="shared" si="8"/>
        <v>5000</v>
      </c>
      <c r="AD18" s="4">
        <f t="shared" si="9"/>
        <v>5000</v>
      </c>
      <c r="AE18" s="5">
        <v>5</v>
      </c>
      <c r="AF18" s="5">
        <f t="shared" si="10"/>
        <v>5000</v>
      </c>
      <c r="AG18" s="4">
        <f t="shared" si="11"/>
        <v>5000</v>
      </c>
      <c r="AH18" s="4">
        <v>5</v>
      </c>
      <c r="AI18" s="5">
        <f t="shared" si="12"/>
        <v>5000</v>
      </c>
      <c r="AJ18" s="5">
        <f t="shared" si="13"/>
        <v>5000</v>
      </c>
      <c r="AK18" s="4">
        <v>5</v>
      </c>
      <c r="AL18" s="4">
        <f t="shared" si="14"/>
        <v>5000</v>
      </c>
      <c r="AM18" s="5">
        <f t="shared" si="15"/>
        <v>5000</v>
      </c>
      <c r="AN18" s="5">
        <v>5</v>
      </c>
      <c r="AO18" s="4">
        <f t="shared" si="16"/>
        <v>5000</v>
      </c>
      <c r="AP18" s="4">
        <f t="shared" si="17"/>
        <v>5000</v>
      </c>
      <c r="AQ18" s="5">
        <v>5</v>
      </c>
      <c r="AR18" s="5">
        <f t="shared" si="18"/>
        <v>5000</v>
      </c>
      <c r="AS18" s="4">
        <f t="shared" si="19"/>
        <v>5000</v>
      </c>
      <c r="AT18" s="4">
        <v>5</v>
      </c>
      <c r="AU18" s="5">
        <f t="shared" si="20"/>
        <v>5000</v>
      </c>
      <c r="AV18" s="5">
        <f t="shared" si="21"/>
        <v>5000</v>
      </c>
      <c r="AW18" s="4">
        <v>5</v>
      </c>
      <c r="AX18" s="4">
        <f t="shared" si="22"/>
        <v>5000</v>
      </c>
      <c r="AY18" s="5">
        <f t="shared" si="23"/>
        <v>5000</v>
      </c>
      <c r="AZ18" s="5">
        <v>5</v>
      </c>
      <c r="BA18" s="4">
        <v>0</v>
      </c>
      <c r="BB18" s="4">
        <f t="shared" si="24"/>
        <v>60000</v>
      </c>
      <c r="BC18" s="5">
        <f t="shared" si="25"/>
        <v>60000</v>
      </c>
      <c r="BD18" s="5">
        <v>5</v>
      </c>
    </row>
    <row r="19" spans="1:57" s="6" customFormat="1">
      <c r="C19" s="7" t="s">
        <v>133</v>
      </c>
      <c r="D19" s="7" t="s">
        <v>56</v>
      </c>
      <c r="E19" s="6" t="s">
        <v>102</v>
      </c>
      <c r="F19" s="6" t="s">
        <v>108</v>
      </c>
      <c r="G19" s="7" t="s">
        <v>69</v>
      </c>
      <c r="H19" s="7">
        <v>36617006</v>
      </c>
      <c r="I19" s="6">
        <v>5842083202</v>
      </c>
      <c r="J19" s="6" t="s">
        <v>60</v>
      </c>
      <c r="K19" s="7" t="s">
        <v>109</v>
      </c>
      <c r="L19" s="7" t="s">
        <v>73</v>
      </c>
      <c r="M19" s="6" t="s">
        <v>79</v>
      </c>
      <c r="N19" s="6" t="s">
        <v>74</v>
      </c>
      <c r="O19" s="7"/>
      <c r="P19" s="7" t="s">
        <v>69</v>
      </c>
      <c r="Q19" s="6">
        <f t="shared" si="0"/>
        <v>7000</v>
      </c>
      <c r="R19" s="6">
        <f t="shared" si="1"/>
        <v>7000</v>
      </c>
      <c r="S19" s="7">
        <v>7</v>
      </c>
      <c r="T19" s="7">
        <f t="shared" si="2"/>
        <v>7000</v>
      </c>
      <c r="U19" s="6">
        <f t="shared" si="3"/>
        <v>7000</v>
      </c>
      <c r="V19" s="6">
        <v>7</v>
      </c>
      <c r="W19" s="7">
        <f t="shared" si="4"/>
        <v>7000</v>
      </c>
      <c r="X19" s="7">
        <f t="shared" si="5"/>
        <v>7000</v>
      </c>
      <c r="Y19" s="6">
        <v>7</v>
      </c>
      <c r="Z19" s="6">
        <f t="shared" si="6"/>
        <v>7000</v>
      </c>
      <c r="AA19" s="7">
        <f t="shared" si="7"/>
        <v>7000</v>
      </c>
      <c r="AB19" s="7">
        <v>7</v>
      </c>
      <c r="AC19" s="6">
        <f t="shared" si="8"/>
        <v>7000</v>
      </c>
      <c r="AD19" s="6">
        <f t="shared" si="9"/>
        <v>7000</v>
      </c>
      <c r="AE19" s="7">
        <v>7</v>
      </c>
      <c r="AF19" s="7">
        <f t="shared" si="10"/>
        <v>7000</v>
      </c>
      <c r="AG19" s="6">
        <f t="shared" si="11"/>
        <v>7000</v>
      </c>
      <c r="AH19" s="6">
        <v>7</v>
      </c>
      <c r="AI19" s="7">
        <f t="shared" si="12"/>
        <v>7000</v>
      </c>
      <c r="AJ19" s="7">
        <f t="shared" si="13"/>
        <v>7000</v>
      </c>
      <c r="AK19" s="6">
        <v>7</v>
      </c>
      <c r="AL19" s="6">
        <f t="shared" si="14"/>
        <v>7000</v>
      </c>
      <c r="AM19" s="7">
        <f t="shared" si="15"/>
        <v>7000</v>
      </c>
      <c r="AN19" s="7">
        <v>7</v>
      </c>
      <c r="AO19" s="6">
        <f t="shared" si="16"/>
        <v>7000</v>
      </c>
      <c r="AP19" s="6">
        <f t="shared" si="17"/>
        <v>7000</v>
      </c>
      <c r="AQ19" s="7">
        <v>7</v>
      </c>
      <c r="AR19" s="7">
        <f t="shared" si="18"/>
        <v>7000</v>
      </c>
      <c r="AS19" s="6">
        <f t="shared" si="19"/>
        <v>7000</v>
      </c>
      <c r="AT19" s="6">
        <v>7</v>
      </c>
      <c r="AU19" s="7">
        <f t="shared" si="20"/>
        <v>7000</v>
      </c>
      <c r="AV19" s="7">
        <f t="shared" si="21"/>
        <v>7000</v>
      </c>
      <c r="AW19" s="6">
        <v>7</v>
      </c>
      <c r="AX19" s="6">
        <f t="shared" si="22"/>
        <v>7000</v>
      </c>
      <c r="AY19" s="7">
        <f t="shared" si="23"/>
        <v>7000</v>
      </c>
      <c r="AZ19" s="7">
        <v>7</v>
      </c>
      <c r="BA19" s="6">
        <v>0</v>
      </c>
      <c r="BB19" s="6">
        <f t="shared" si="24"/>
        <v>84000</v>
      </c>
      <c r="BC19" s="7">
        <f t="shared" si="25"/>
        <v>84000</v>
      </c>
      <c r="BD19" s="7">
        <v>7</v>
      </c>
    </row>
    <row r="20" spans="1:57" s="4" customFormat="1">
      <c r="C20" s="5" t="s">
        <v>55</v>
      </c>
      <c r="D20" s="5" t="s">
        <v>56</v>
      </c>
      <c r="E20" s="4" t="s">
        <v>75</v>
      </c>
      <c r="F20" s="4" t="s">
        <v>110</v>
      </c>
      <c r="G20" s="5" t="s">
        <v>69</v>
      </c>
      <c r="H20" s="5">
        <v>38617002</v>
      </c>
      <c r="I20" s="4">
        <v>5842283202</v>
      </c>
      <c r="J20" s="4" t="s">
        <v>60</v>
      </c>
      <c r="K20" s="5" t="s">
        <v>111</v>
      </c>
      <c r="L20" s="5" t="s">
        <v>73</v>
      </c>
      <c r="M20" s="4" t="s">
        <v>79</v>
      </c>
      <c r="N20" s="4" t="s">
        <v>74</v>
      </c>
      <c r="O20" s="5"/>
      <c r="P20" s="5" t="s">
        <v>69</v>
      </c>
      <c r="Q20" s="4">
        <f t="shared" si="0"/>
        <v>7000</v>
      </c>
      <c r="R20" s="4">
        <f t="shared" si="1"/>
        <v>7000</v>
      </c>
      <c r="S20" s="5">
        <v>7</v>
      </c>
      <c r="T20" s="5">
        <f t="shared" si="2"/>
        <v>7000</v>
      </c>
      <c r="U20" s="4">
        <f t="shared" si="3"/>
        <v>7000</v>
      </c>
      <c r="V20" s="4">
        <v>7</v>
      </c>
      <c r="W20" s="5">
        <f t="shared" si="4"/>
        <v>7000</v>
      </c>
      <c r="X20" s="5">
        <f t="shared" si="5"/>
        <v>7000</v>
      </c>
      <c r="Y20" s="4">
        <v>7</v>
      </c>
      <c r="Z20" s="4">
        <f t="shared" si="6"/>
        <v>7000</v>
      </c>
      <c r="AA20" s="5">
        <f t="shared" si="7"/>
        <v>7000</v>
      </c>
      <c r="AB20" s="5">
        <v>7</v>
      </c>
      <c r="AC20" s="4">
        <f t="shared" si="8"/>
        <v>7000</v>
      </c>
      <c r="AD20" s="4">
        <f t="shared" si="9"/>
        <v>7000</v>
      </c>
      <c r="AE20" s="5">
        <v>7</v>
      </c>
      <c r="AF20" s="5">
        <f t="shared" si="10"/>
        <v>7000</v>
      </c>
      <c r="AG20" s="4">
        <f t="shared" si="11"/>
        <v>7000</v>
      </c>
      <c r="AH20" s="4">
        <v>7</v>
      </c>
      <c r="AI20" s="5">
        <f t="shared" si="12"/>
        <v>7000</v>
      </c>
      <c r="AJ20" s="5">
        <f t="shared" si="13"/>
        <v>7000</v>
      </c>
      <c r="AK20" s="4">
        <v>7</v>
      </c>
      <c r="AL20" s="4">
        <f t="shared" si="14"/>
        <v>7000</v>
      </c>
      <c r="AM20" s="5">
        <f t="shared" si="15"/>
        <v>7000</v>
      </c>
      <c r="AN20" s="5">
        <v>7</v>
      </c>
      <c r="AO20" s="4">
        <f t="shared" si="16"/>
        <v>7000</v>
      </c>
      <c r="AP20" s="4">
        <f t="shared" si="17"/>
        <v>7000</v>
      </c>
      <c r="AQ20" s="5">
        <v>7</v>
      </c>
      <c r="AR20" s="5">
        <f t="shared" si="18"/>
        <v>7000</v>
      </c>
      <c r="AS20" s="4">
        <f t="shared" si="19"/>
        <v>7000</v>
      </c>
      <c r="AT20" s="4">
        <v>7</v>
      </c>
      <c r="AU20" s="5">
        <f t="shared" si="20"/>
        <v>7000</v>
      </c>
      <c r="AV20" s="5">
        <f t="shared" si="21"/>
        <v>7000</v>
      </c>
      <c r="AW20" s="4">
        <v>7</v>
      </c>
      <c r="AX20" s="4">
        <f t="shared" si="22"/>
        <v>7000</v>
      </c>
      <c r="AY20" s="5">
        <f t="shared" si="23"/>
        <v>7000</v>
      </c>
      <c r="AZ20" s="5">
        <v>7</v>
      </c>
      <c r="BA20" s="4">
        <v>0</v>
      </c>
      <c r="BB20" s="4">
        <f t="shared" si="24"/>
        <v>84000</v>
      </c>
      <c r="BC20" s="5">
        <f t="shared" si="25"/>
        <v>84000</v>
      </c>
      <c r="BD20" s="5">
        <v>7</v>
      </c>
    </row>
    <row r="21" spans="1:57" s="6" customFormat="1">
      <c r="B21" s="6" t="s">
        <v>69</v>
      </c>
      <c r="C21" s="7" t="s">
        <v>133</v>
      </c>
      <c r="D21" s="7" t="s">
        <v>56</v>
      </c>
      <c r="E21" s="6" t="s">
        <v>63</v>
      </c>
      <c r="F21" s="6" t="s">
        <v>112</v>
      </c>
      <c r="G21" s="7"/>
      <c r="H21" s="7" t="s">
        <v>113</v>
      </c>
      <c r="I21" s="6">
        <v>5841813202</v>
      </c>
      <c r="J21" s="6" t="s">
        <v>60</v>
      </c>
      <c r="K21" s="7" t="s">
        <v>113</v>
      </c>
      <c r="L21" s="7" t="s">
        <v>66</v>
      </c>
      <c r="M21" s="6" t="s">
        <v>67</v>
      </c>
      <c r="N21" s="6" t="s">
        <v>68</v>
      </c>
      <c r="O21" s="7"/>
      <c r="P21" s="7" t="s">
        <v>69</v>
      </c>
      <c r="Q21" s="6">
        <f t="shared" si="0"/>
        <v>3000</v>
      </c>
      <c r="R21" s="6">
        <f t="shared" si="1"/>
        <v>3000</v>
      </c>
      <c r="S21" s="7">
        <v>3</v>
      </c>
      <c r="T21" s="7">
        <f t="shared" si="2"/>
        <v>3000</v>
      </c>
      <c r="U21" s="6">
        <f t="shared" si="3"/>
        <v>3000</v>
      </c>
      <c r="V21" s="6">
        <v>3</v>
      </c>
      <c r="W21" s="7">
        <f t="shared" si="4"/>
        <v>3000</v>
      </c>
      <c r="X21" s="7">
        <f t="shared" si="5"/>
        <v>3000</v>
      </c>
      <c r="Y21" s="6">
        <v>3</v>
      </c>
      <c r="Z21" s="6">
        <f t="shared" si="6"/>
        <v>3000</v>
      </c>
      <c r="AA21" s="7">
        <f t="shared" si="7"/>
        <v>3000</v>
      </c>
      <c r="AB21" s="7">
        <v>3</v>
      </c>
      <c r="AC21" s="6">
        <f t="shared" si="8"/>
        <v>3000</v>
      </c>
      <c r="AD21" s="6">
        <f t="shared" si="9"/>
        <v>3000</v>
      </c>
      <c r="AE21" s="7">
        <v>3</v>
      </c>
      <c r="AF21" s="7">
        <f t="shared" si="10"/>
        <v>3000</v>
      </c>
      <c r="AG21" s="6">
        <f t="shared" si="11"/>
        <v>3000</v>
      </c>
      <c r="AH21" s="6">
        <v>3</v>
      </c>
      <c r="AI21" s="7">
        <f t="shared" si="12"/>
        <v>3000</v>
      </c>
      <c r="AJ21" s="7">
        <f t="shared" si="13"/>
        <v>3000</v>
      </c>
      <c r="AK21" s="6">
        <v>3</v>
      </c>
      <c r="AL21" s="6">
        <f t="shared" si="14"/>
        <v>3000</v>
      </c>
      <c r="AM21" s="7">
        <f t="shared" si="15"/>
        <v>3000</v>
      </c>
      <c r="AN21" s="7">
        <v>3</v>
      </c>
      <c r="AO21" s="6">
        <f t="shared" si="16"/>
        <v>3000</v>
      </c>
      <c r="AP21" s="6">
        <f t="shared" si="17"/>
        <v>3000</v>
      </c>
      <c r="AQ21" s="7">
        <v>3</v>
      </c>
      <c r="AR21" s="7">
        <f t="shared" si="18"/>
        <v>3000</v>
      </c>
      <c r="AS21" s="6">
        <f t="shared" si="19"/>
        <v>3000</v>
      </c>
      <c r="AT21" s="6">
        <v>3</v>
      </c>
      <c r="AU21" s="7">
        <f t="shared" si="20"/>
        <v>3000</v>
      </c>
      <c r="AV21" s="7">
        <f t="shared" si="21"/>
        <v>3000</v>
      </c>
      <c r="AW21" s="6">
        <v>3</v>
      </c>
      <c r="AX21" s="6">
        <f t="shared" si="22"/>
        <v>3000</v>
      </c>
      <c r="AY21" s="7">
        <f t="shared" si="23"/>
        <v>3000</v>
      </c>
      <c r="AZ21" s="7">
        <v>3</v>
      </c>
      <c r="BA21" s="6">
        <v>0</v>
      </c>
      <c r="BB21" s="6">
        <f t="shared" si="24"/>
        <v>36000</v>
      </c>
      <c r="BC21" s="7">
        <f t="shared" si="25"/>
        <v>36000</v>
      </c>
      <c r="BD21" s="7">
        <v>3</v>
      </c>
    </row>
    <row r="22" spans="1:57" s="4" customFormat="1">
      <c r="C22" s="5" t="s">
        <v>55</v>
      </c>
      <c r="D22" s="5" t="s">
        <v>56</v>
      </c>
      <c r="E22" s="4" t="s">
        <v>63</v>
      </c>
      <c r="F22" s="4" t="s">
        <v>114</v>
      </c>
      <c r="G22" s="5"/>
      <c r="H22" s="5">
        <v>129855</v>
      </c>
      <c r="I22" s="4">
        <v>5841813202</v>
      </c>
      <c r="J22" s="4" t="s">
        <v>60</v>
      </c>
      <c r="K22" s="5" t="s">
        <v>115</v>
      </c>
      <c r="L22" s="5" t="s">
        <v>73</v>
      </c>
      <c r="M22" s="4" t="s">
        <v>67</v>
      </c>
      <c r="N22" s="4" t="s">
        <v>74</v>
      </c>
      <c r="O22" s="5"/>
      <c r="P22" s="5" t="s">
        <v>69</v>
      </c>
      <c r="Q22" s="4">
        <f t="shared" si="0"/>
        <v>3000</v>
      </c>
      <c r="R22" s="4">
        <f t="shared" si="1"/>
        <v>3000</v>
      </c>
      <c r="S22" s="5">
        <v>3</v>
      </c>
      <c r="T22" s="5">
        <f t="shared" si="2"/>
        <v>3000</v>
      </c>
      <c r="U22" s="4">
        <f t="shared" si="3"/>
        <v>3000</v>
      </c>
      <c r="V22" s="4">
        <v>3</v>
      </c>
      <c r="W22" s="5">
        <f t="shared" si="4"/>
        <v>3000</v>
      </c>
      <c r="X22" s="5">
        <f t="shared" si="5"/>
        <v>3000</v>
      </c>
      <c r="Y22" s="4">
        <v>3</v>
      </c>
      <c r="Z22" s="4">
        <f t="shared" si="6"/>
        <v>3000</v>
      </c>
      <c r="AA22" s="5">
        <f t="shared" si="7"/>
        <v>3000</v>
      </c>
      <c r="AB22" s="5">
        <v>3</v>
      </c>
      <c r="AC22" s="4">
        <f t="shared" si="8"/>
        <v>3000</v>
      </c>
      <c r="AD22" s="4">
        <f t="shared" si="9"/>
        <v>3000</v>
      </c>
      <c r="AE22" s="5">
        <v>3</v>
      </c>
      <c r="AF22" s="5">
        <f t="shared" si="10"/>
        <v>3000</v>
      </c>
      <c r="AG22" s="4">
        <f t="shared" si="11"/>
        <v>3000</v>
      </c>
      <c r="AH22" s="4">
        <v>3</v>
      </c>
      <c r="AI22" s="5">
        <f t="shared" si="12"/>
        <v>3000</v>
      </c>
      <c r="AJ22" s="5">
        <f t="shared" si="13"/>
        <v>3000</v>
      </c>
      <c r="AK22" s="4">
        <v>3</v>
      </c>
      <c r="AL22" s="4">
        <f t="shared" si="14"/>
        <v>3000</v>
      </c>
      <c r="AM22" s="5">
        <f t="shared" si="15"/>
        <v>3000</v>
      </c>
      <c r="AN22" s="5">
        <v>3</v>
      </c>
      <c r="AO22" s="4">
        <f t="shared" si="16"/>
        <v>3000</v>
      </c>
      <c r="AP22" s="4">
        <f t="shared" si="17"/>
        <v>3000</v>
      </c>
      <c r="AQ22" s="5">
        <v>3</v>
      </c>
      <c r="AR22" s="5">
        <f t="shared" si="18"/>
        <v>3000</v>
      </c>
      <c r="AS22" s="4">
        <f t="shared" si="19"/>
        <v>3000</v>
      </c>
      <c r="AT22" s="4">
        <v>3</v>
      </c>
      <c r="AU22" s="5">
        <f t="shared" si="20"/>
        <v>3000</v>
      </c>
      <c r="AV22" s="5">
        <f t="shared" si="21"/>
        <v>3000</v>
      </c>
      <c r="AW22" s="4">
        <v>3</v>
      </c>
      <c r="AX22" s="4">
        <f t="shared" si="22"/>
        <v>3000</v>
      </c>
      <c r="AY22" s="5">
        <f t="shared" si="23"/>
        <v>3000</v>
      </c>
      <c r="AZ22" s="5">
        <v>3</v>
      </c>
      <c r="BA22" s="4">
        <v>0</v>
      </c>
      <c r="BB22" s="4">
        <f t="shared" si="24"/>
        <v>36000</v>
      </c>
      <c r="BC22" s="5">
        <f t="shared" si="25"/>
        <v>36000</v>
      </c>
      <c r="BD22" s="5">
        <v>3</v>
      </c>
    </row>
    <row r="23" spans="1:57" s="6" customFormat="1">
      <c r="A23" s="6" t="s">
        <v>69</v>
      </c>
      <c r="C23" s="7" t="s">
        <v>132</v>
      </c>
      <c r="D23" s="7" t="s">
        <v>56</v>
      </c>
      <c r="E23" s="6" t="s">
        <v>116</v>
      </c>
      <c r="F23" s="6" t="s">
        <v>117</v>
      </c>
      <c r="G23" s="7"/>
      <c r="H23" s="7">
        <v>365477</v>
      </c>
      <c r="I23" s="6">
        <v>5841813202</v>
      </c>
      <c r="J23" s="6" t="s">
        <v>60</v>
      </c>
      <c r="K23" s="7" t="s">
        <v>118</v>
      </c>
      <c r="L23" s="7" t="s">
        <v>73</v>
      </c>
      <c r="M23" s="6" t="s">
        <v>67</v>
      </c>
      <c r="N23" s="6" t="s">
        <v>74</v>
      </c>
      <c r="O23" s="7"/>
      <c r="P23" s="7" t="s">
        <v>69</v>
      </c>
      <c r="Q23" s="6">
        <f t="shared" si="0"/>
        <v>5000</v>
      </c>
      <c r="R23" s="6">
        <f t="shared" si="1"/>
        <v>5000</v>
      </c>
      <c r="S23" s="7">
        <v>5</v>
      </c>
      <c r="T23" s="7">
        <f t="shared" si="2"/>
        <v>5000</v>
      </c>
      <c r="U23" s="6">
        <f t="shared" si="3"/>
        <v>5000</v>
      </c>
      <c r="V23" s="6">
        <v>5</v>
      </c>
      <c r="W23" s="7">
        <f t="shared" si="4"/>
        <v>5000</v>
      </c>
      <c r="X23" s="7">
        <f t="shared" si="5"/>
        <v>5000</v>
      </c>
      <c r="Y23" s="6">
        <v>5</v>
      </c>
      <c r="Z23" s="6">
        <f t="shared" si="6"/>
        <v>5000</v>
      </c>
      <c r="AA23" s="7">
        <f t="shared" si="7"/>
        <v>5000</v>
      </c>
      <c r="AB23" s="7">
        <v>5</v>
      </c>
      <c r="AC23" s="6">
        <f t="shared" si="8"/>
        <v>5000</v>
      </c>
      <c r="AD23" s="6">
        <f t="shared" si="9"/>
        <v>5000</v>
      </c>
      <c r="AE23" s="7">
        <v>5</v>
      </c>
      <c r="AF23" s="7">
        <f t="shared" si="10"/>
        <v>5000</v>
      </c>
      <c r="AG23" s="6">
        <f t="shared" si="11"/>
        <v>5000</v>
      </c>
      <c r="AH23" s="6">
        <v>5</v>
      </c>
      <c r="AI23" s="7">
        <f t="shared" si="12"/>
        <v>5000</v>
      </c>
      <c r="AJ23" s="7">
        <f t="shared" si="13"/>
        <v>5000</v>
      </c>
      <c r="AK23" s="6">
        <v>5</v>
      </c>
      <c r="AL23" s="6">
        <f t="shared" si="14"/>
        <v>5000</v>
      </c>
      <c r="AM23" s="7">
        <f t="shared" si="15"/>
        <v>5000</v>
      </c>
      <c r="AN23" s="7">
        <v>5</v>
      </c>
      <c r="AO23" s="6">
        <f t="shared" si="16"/>
        <v>5000</v>
      </c>
      <c r="AP23" s="6">
        <f t="shared" si="17"/>
        <v>5000</v>
      </c>
      <c r="AQ23" s="7">
        <v>5</v>
      </c>
      <c r="AR23" s="7">
        <f t="shared" si="18"/>
        <v>5000</v>
      </c>
      <c r="AS23" s="6">
        <f t="shared" si="19"/>
        <v>5000</v>
      </c>
      <c r="AT23" s="6">
        <v>5</v>
      </c>
      <c r="AU23" s="7">
        <f t="shared" si="20"/>
        <v>5000</v>
      </c>
      <c r="AV23" s="7">
        <f t="shared" si="21"/>
        <v>5000</v>
      </c>
      <c r="AW23" s="6">
        <v>5</v>
      </c>
      <c r="AX23" s="6">
        <f t="shared" si="22"/>
        <v>5000</v>
      </c>
      <c r="AY23" s="7">
        <f t="shared" si="23"/>
        <v>5000</v>
      </c>
      <c r="AZ23" s="7">
        <v>5</v>
      </c>
      <c r="BA23" s="6">
        <v>0</v>
      </c>
      <c r="BB23" s="6">
        <f t="shared" si="24"/>
        <v>60000</v>
      </c>
      <c r="BC23" s="7">
        <f t="shared" si="25"/>
        <v>60000</v>
      </c>
      <c r="BD23" s="7">
        <v>5</v>
      </c>
    </row>
    <row r="24" spans="1:57" s="4" customFormat="1">
      <c r="A24" s="4" t="s">
        <v>69</v>
      </c>
      <c r="C24" s="5" t="s">
        <v>132</v>
      </c>
      <c r="D24" s="5" t="s">
        <v>56</v>
      </c>
      <c r="E24" s="4" t="s">
        <v>119</v>
      </c>
      <c r="F24" s="4" t="s">
        <v>120</v>
      </c>
      <c r="G24" s="5"/>
      <c r="H24" s="5" t="s">
        <v>121</v>
      </c>
      <c r="I24" s="4">
        <v>5841813202</v>
      </c>
      <c r="J24" s="4" t="s">
        <v>60</v>
      </c>
      <c r="K24" s="5" t="s">
        <v>121</v>
      </c>
      <c r="L24" s="5" t="s">
        <v>66</v>
      </c>
      <c r="M24" s="4" t="s">
        <v>67</v>
      </c>
      <c r="N24" s="4" t="s">
        <v>74</v>
      </c>
      <c r="O24" s="5"/>
      <c r="P24" s="5" t="s">
        <v>69</v>
      </c>
      <c r="Q24" s="4">
        <f t="shared" si="0"/>
        <v>4000</v>
      </c>
      <c r="R24" s="4">
        <f t="shared" si="1"/>
        <v>4000</v>
      </c>
      <c r="S24" s="5">
        <v>4</v>
      </c>
      <c r="T24" s="5">
        <f t="shared" si="2"/>
        <v>4000</v>
      </c>
      <c r="U24" s="4">
        <f t="shared" si="3"/>
        <v>4000</v>
      </c>
      <c r="V24" s="4">
        <v>4</v>
      </c>
      <c r="W24" s="5">
        <f t="shared" si="4"/>
        <v>4000</v>
      </c>
      <c r="X24" s="5">
        <f t="shared" si="5"/>
        <v>4000</v>
      </c>
      <c r="Y24" s="4">
        <v>4</v>
      </c>
      <c r="Z24" s="4">
        <f t="shared" si="6"/>
        <v>4000</v>
      </c>
      <c r="AA24" s="5">
        <f t="shared" si="7"/>
        <v>4000</v>
      </c>
      <c r="AB24" s="5">
        <v>4</v>
      </c>
      <c r="AC24" s="4">
        <f t="shared" si="8"/>
        <v>4000</v>
      </c>
      <c r="AD24" s="4">
        <f t="shared" si="9"/>
        <v>4000</v>
      </c>
      <c r="AE24" s="5">
        <v>4</v>
      </c>
      <c r="AF24" s="5">
        <f t="shared" si="10"/>
        <v>4000</v>
      </c>
      <c r="AG24" s="4">
        <f t="shared" si="11"/>
        <v>4000</v>
      </c>
      <c r="AH24" s="4">
        <v>4</v>
      </c>
      <c r="AI24" s="5">
        <f t="shared" si="12"/>
        <v>4000</v>
      </c>
      <c r="AJ24" s="5">
        <f t="shared" si="13"/>
        <v>4000</v>
      </c>
      <c r="AK24" s="4">
        <v>4</v>
      </c>
      <c r="AL24" s="4">
        <f t="shared" si="14"/>
        <v>4000</v>
      </c>
      <c r="AM24" s="5">
        <f t="shared" si="15"/>
        <v>4000</v>
      </c>
      <c r="AN24" s="5">
        <v>4</v>
      </c>
      <c r="AO24" s="4">
        <f t="shared" si="16"/>
        <v>4000</v>
      </c>
      <c r="AP24" s="4">
        <f t="shared" si="17"/>
        <v>4000</v>
      </c>
      <c r="AQ24" s="5">
        <v>4</v>
      </c>
      <c r="AR24" s="5">
        <f t="shared" si="18"/>
        <v>4000</v>
      </c>
      <c r="AS24" s="4">
        <f t="shared" si="19"/>
        <v>4000</v>
      </c>
      <c r="AT24" s="4">
        <v>4</v>
      </c>
      <c r="AU24" s="5">
        <f t="shared" si="20"/>
        <v>4000</v>
      </c>
      <c r="AV24" s="5">
        <f t="shared" si="21"/>
        <v>4000</v>
      </c>
      <c r="AW24" s="4">
        <v>4</v>
      </c>
      <c r="AX24" s="4">
        <f t="shared" si="22"/>
        <v>4000</v>
      </c>
      <c r="AY24" s="5">
        <f t="shared" si="23"/>
        <v>4000</v>
      </c>
      <c r="AZ24" s="5">
        <v>4</v>
      </c>
      <c r="BA24" s="4">
        <v>0</v>
      </c>
      <c r="BB24" s="4">
        <f t="shared" si="24"/>
        <v>48000</v>
      </c>
      <c r="BC24" s="5">
        <f t="shared" si="25"/>
        <v>48000</v>
      </c>
      <c r="BD24" s="5">
        <v>4</v>
      </c>
    </row>
    <row r="25" spans="1:57" s="6" customFormat="1">
      <c r="A25" s="6" t="s">
        <v>69</v>
      </c>
      <c r="C25" s="7" t="s">
        <v>132</v>
      </c>
      <c r="D25" s="7" t="s">
        <v>56</v>
      </c>
      <c r="E25" s="6" t="s">
        <v>75</v>
      </c>
      <c r="F25" s="6" t="s">
        <v>122</v>
      </c>
      <c r="G25" s="7"/>
      <c r="H25" s="7">
        <v>38617005</v>
      </c>
      <c r="I25" s="6">
        <v>5841843202</v>
      </c>
      <c r="J25" s="6" t="s">
        <v>60</v>
      </c>
      <c r="K25" s="7" t="s">
        <v>123</v>
      </c>
      <c r="L25" s="7" t="s">
        <v>73</v>
      </c>
      <c r="M25" s="6" t="s">
        <v>79</v>
      </c>
      <c r="N25" s="6" t="s">
        <v>74</v>
      </c>
      <c r="O25" s="7"/>
      <c r="P25" s="7" t="s">
        <v>69</v>
      </c>
      <c r="Q25" s="6">
        <f t="shared" si="0"/>
        <v>3000</v>
      </c>
      <c r="R25" s="6">
        <f t="shared" si="1"/>
        <v>3000</v>
      </c>
      <c r="S25" s="7">
        <v>3</v>
      </c>
      <c r="T25" s="7">
        <f t="shared" si="2"/>
        <v>3000</v>
      </c>
      <c r="U25" s="6">
        <f t="shared" si="3"/>
        <v>3000</v>
      </c>
      <c r="V25" s="6">
        <v>3</v>
      </c>
      <c r="W25" s="7">
        <f t="shared" si="4"/>
        <v>3000</v>
      </c>
      <c r="X25" s="7">
        <f t="shared" si="5"/>
        <v>3000</v>
      </c>
      <c r="Y25" s="6">
        <v>3</v>
      </c>
      <c r="Z25" s="6">
        <f t="shared" si="6"/>
        <v>0</v>
      </c>
      <c r="AA25" s="7">
        <f t="shared" si="7"/>
        <v>0</v>
      </c>
      <c r="AB25" s="7">
        <v>0</v>
      </c>
      <c r="AC25" s="6">
        <f t="shared" si="8"/>
        <v>0</v>
      </c>
      <c r="AD25" s="6">
        <f t="shared" si="9"/>
        <v>0</v>
      </c>
      <c r="AE25" s="7">
        <v>0</v>
      </c>
      <c r="AF25" s="7">
        <f t="shared" si="10"/>
        <v>0</v>
      </c>
      <c r="AG25" s="6">
        <f t="shared" si="11"/>
        <v>0</v>
      </c>
      <c r="AH25" s="6">
        <v>0</v>
      </c>
      <c r="AI25" s="7">
        <f t="shared" si="12"/>
        <v>0</v>
      </c>
      <c r="AJ25" s="7">
        <f t="shared" si="13"/>
        <v>0</v>
      </c>
      <c r="AK25" s="6">
        <v>0</v>
      </c>
      <c r="AL25" s="6">
        <f t="shared" si="14"/>
        <v>0</v>
      </c>
      <c r="AM25" s="7">
        <f t="shared" si="15"/>
        <v>0</v>
      </c>
      <c r="AN25" s="7">
        <v>0</v>
      </c>
      <c r="AO25" s="6">
        <f t="shared" si="16"/>
        <v>0</v>
      </c>
      <c r="AP25" s="6">
        <f t="shared" si="17"/>
        <v>0</v>
      </c>
      <c r="AQ25" s="7">
        <v>0</v>
      </c>
      <c r="AR25" s="7">
        <f t="shared" si="18"/>
        <v>0</v>
      </c>
      <c r="AS25" s="6">
        <f t="shared" si="19"/>
        <v>0</v>
      </c>
      <c r="AT25" s="6">
        <v>0</v>
      </c>
      <c r="AU25" s="7">
        <f t="shared" si="20"/>
        <v>0</v>
      </c>
      <c r="AV25" s="7">
        <f t="shared" si="21"/>
        <v>0</v>
      </c>
      <c r="AW25" s="6">
        <v>0</v>
      </c>
      <c r="AX25" s="6">
        <f t="shared" si="22"/>
        <v>0</v>
      </c>
      <c r="AY25" s="7">
        <f t="shared" si="23"/>
        <v>0</v>
      </c>
      <c r="AZ25" s="7">
        <v>0</v>
      </c>
      <c r="BA25" s="6">
        <v>0</v>
      </c>
      <c r="BB25" s="6">
        <f t="shared" si="24"/>
        <v>9000</v>
      </c>
      <c r="BC25" s="7">
        <f t="shared" si="25"/>
        <v>9000</v>
      </c>
      <c r="BD25" s="7">
        <v>0.8</v>
      </c>
    </row>
    <row r="26" spans="1:57" s="4" customFormat="1">
      <c r="A26" s="4" t="s">
        <v>69</v>
      </c>
      <c r="C26" s="5" t="s">
        <v>132</v>
      </c>
      <c r="D26" s="5" t="s">
        <v>56</v>
      </c>
      <c r="E26" s="4" t="s">
        <v>63</v>
      </c>
      <c r="F26" s="4" t="s">
        <v>114</v>
      </c>
      <c r="G26" s="5"/>
      <c r="H26" s="5">
        <v>129855</v>
      </c>
      <c r="I26" s="4">
        <v>5841813202</v>
      </c>
      <c r="J26" s="4" t="s">
        <v>60</v>
      </c>
      <c r="K26" s="5" t="s">
        <v>115</v>
      </c>
      <c r="L26" s="5" t="s">
        <v>73</v>
      </c>
      <c r="M26" s="4" t="s">
        <v>67</v>
      </c>
      <c r="N26" s="4" t="s">
        <v>74</v>
      </c>
      <c r="O26" s="5"/>
      <c r="P26" s="5" t="s">
        <v>69</v>
      </c>
      <c r="Q26" s="4">
        <f t="shared" ref="Q26:Q32" si="26">S26*1000</f>
        <v>3000</v>
      </c>
      <c r="R26" s="4">
        <f t="shared" ref="R26:R32" si="27">S26*1000</f>
        <v>3000</v>
      </c>
      <c r="S26" s="5">
        <v>3</v>
      </c>
      <c r="T26" s="5">
        <f t="shared" ref="T26:T32" si="28">V26*1000</f>
        <v>3000</v>
      </c>
      <c r="U26" s="4">
        <f t="shared" ref="U26:U32" si="29">V26*1000</f>
        <v>3000</v>
      </c>
      <c r="V26" s="4">
        <v>3</v>
      </c>
      <c r="W26" s="5">
        <f t="shared" ref="W26:W32" si="30">Y26*1000</f>
        <v>3000</v>
      </c>
      <c r="X26" s="5">
        <f t="shared" ref="X26:X32" si="31">Y26*1000</f>
        <v>3000</v>
      </c>
      <c r="Y26" s="4">
        <v>3</v>
      </c>
      <c r="Z26" s="4">
        <f t="shared" ref="Z26:Z32" si="32">AB26*1000</f>
        <v>3000</v>
      </c>
      <c r="AA26" s="5">
        <f t="shared" ref="AA26:AA32" si="33">AB26*1000</f>
        <v>3000</v>
      </c>
      <c r="AB26" s="5">
        <v>3</v>
      </c>
      <c r="AC26" s="4">
        <f t="shared" ref="AC26:AC32" si="34">AE26*1000</f>
        <v>3000</v>
      </c>
      <c r="AD26" s="4">
        <f t="shared" ref="AD26:AD32" si="35">AE26*1000</f>
        <v>3000</v>
      </c>
      <c r="AE26" s="5">
        <v>3</v>
      </c>
      <c r="AF26" s="5">
        <f t="shared" ref="AF26:AF32" si="36">AH26*1000</f>
        <v>3000</v>
      </c>
      <c r="AG26" s="4">
        <f t="shared" ref="AG26:AG32" si="37">AH26*1000</f>
        <v>3000</v>
      </c>
      <c r="AH26" s="4">
        <v>3</v>
      </c>
      <c r="AI26" s="5">
        <f t="shared" ref="AI26:AI32" si="38">AK26*1000</f>
        <v>3000</v>
      </c>
      <c r="AJ26" s="5">
        <f t="shared" ref="AJ26:AJ32" si="39">AK26*1000</f>
        <v>3000</v>
      </c>
      <c r="AK26" s="4">
        <v>3</v>
      </c>
      <c r="AL26" s="4">
        <f t="shared" ref="AL26:AL32" si="40">AN26*1000</f>
        <v>3000</v>
      </c>
      <c r="AM26" s="5">
        <f t="shared" ref="AM26:AM32" si="41">AN26*1000</f>
        <v>3000</v>
      </c>
      <c r="AN26" s="5">
        <v>3</v>
      </c>
      <c r="AO26" s="4">
        <f t="shared" ref="AO26:AO32" si="42">AQ26*1000</f>
        <v>3000</v>
      </c>
      <c r="AP26" s="4">
        <f t="shared" ref="AP26:AP32" si="43">AQ26*1000</f>
        <v>3000</v>
      </c>
      <c r="AQ26" s="5">
        <v>3</v>
      </c>
      <c r="AR26" s="5">
        <f t="shared" ref="AR26:AR32" si="44">AT26*1000</f>
        <v>3000</v>
      </c>
      <c r="AS26" s="4">
        <f t="shared" ref="AS26:AS32" si="45">AT26*1000</f>
        <v>3000</v>
      </c>
      <c r="AT26" s="4">
        <v>3</v>
      </c>
      <c r="AU26" s="5">
        <f t="shared" ref="AU26:AU32" si="46">AW26*1000</f>
        <v>3000</v>
      </c>
      <c r="AV26" s="5">
        <f t="shared" ref="AV26:AV32" si="47">AW26*1000</f>
        <v>3000</v>
      </c>
      <c r="AW26" s="4">
        <v>3</v>
      </c>
      <c r="AX26" s="4">
        <f t="shared" ref="AX26:AX32" si="48">AZ26*1000</f>
        <v>3000</v>
      </c>
      <c r="AY26" s="5">
        <f t="shared" ref="AY26:AY32" si="49">AZ26*1000</f>
        <v>3000</v>
      </c>
      <c r="AZ26" s="5">
        <v>3</v>
      </c>
      <c r="BA26" s="4">
        <v>0</v>
      </c>
      <c r="BB26" s="4">
        <f t="shared" ref="BB26:BB32" si="50">SUM(Q26,T26,W26,Z26,AC26,AF26,AI26,AL26,AO26,AR26,AU26,AX26)</f>
        <v>36000</v>
      </c>
      <c r="BC26" s="5">
        <f t="shared" ref="BC26:BC32" si="51">SUM(R26,U26,X26,AA26,AD26,AG26,AJ26,AM26,AP26,AS26,AV26,AY26)</f>
        <v>36000</v>
      </c>
      <c r="BD26" s="5">
        <v>3</v>
      </c>
    </row>
    <row r="27" spans="1:57" s="6" customFormat="1">
      <c r="B27" s="6" t="s">
        <v>69</v>
      </c>
      <c r="C27" s="7" t="s">
        <v>133</v>
      </c>
      <c r="D27" s="7" t="s">
        <v>56</v>
      </c>
      <c r="E27" s="6" t="s">
        <v>116</v>
      </c>
      <c r="F27" s="6" t="s">
        <v>117</v>
      </c>
      <c r="G27" s="7"/>
      <c r="H27" s="7">
        <v>365477</v>
      </c>
      <c r="I27" s="6">
        <v>5841813202</v>
      </c>
      <c r="J27" s="6" t="s">
        <v>60</v>
      </c>
      <c r="K27" s="7" t="s">
        <v>118</v>
      </c>
      <c r="L27" s="7" t="s">
        <v>73</v>
      </c>
      <c r="M27" s="6" t="s">
        <v>67</v>
      </c>
      <c r="N27" s="6" t="s">
        <v>74</v>
      </c>
      <c r="O27" s="7"/>
      <c r="P27" s="7" t="s">
        <v>69</v>
      </c>
      <c r="Q27" s="6">
        <f t="shared" si="26"/>
        <v>5000</v>
      </c>
      <c r="R27" s="6">
        <f t="shared" si="27"/>
        <v>5000</v>
      </c>
      <c r="S27" s="7">
        <v>5</v>
      </c>
      <c r="T27" s="7">
        <f t="shared" si="28"/>
        <v>5000</v>
      </c>
      <c r="U27" s="6">
        <f t="shared" si="29"/>
        <v>5000</v>
      </c>
      <c r="V27" s="6">
        <v>5</v>
      </c>
      <c r="W27" s="7">
        <f t="shared" si="30"/>
        <v>5000</v>
      </c>
      <c r="X27" s="7">
        <f t="shared" si="31"/>
        <v>5000</v>
      </c>
      <c r="Y27" s="6">
        <v>5</v>
      </c>
      <c r="Z27" s="6">
        <f t="shared" si="32"/>
        <v>5000</v>
      </c>
      <c r="AA27" s="7">
        <f t="shared" si="33"/>
        <v>5000</v>
      </c>
      <c r="AB27" s="7">
        <v>5</v>
      </c>
      <c r="AC27" s="6">
        <f t="shared" si="34"/>
        <v>5000</v>
      </c>
      <c r="AD27" s="6">
        <f t="shared" si="35"/>
        <v>5000</v>
      </c>
      <c r="AE27" s="7">
        <v>5</v>
      </c>
      <c r="AF27" s="7">
        <f t="shared" si="36"/>
        <v>5000</v>
      </c>
      <c r="AG27" s="6">
        <f t="shared" si="37"/>
        <v>5000</v>
      </c>
      <c r="AH27" s="6">
        <v>5</v>
      </c>
      <c r="AI27" s="7">
        <f t="shared" si="38"/>
        <v>5000</v>
      </c>
      <c r="AJ27" s="7">
        <f t="shared" si="39"/>
        <v>5000</v>
      </c>
      <c r="AK27" s="6">
        <v>5</v>
      </c>
      <c r="AL27" s="6">
        <f t="shared" si="40"/>
        <v>5000</v>
      </c>
      <c r="AM27" s="7">
        <f t="shared" si="41"/>
        <v>5000</v>
      </c>
      <c r="AN27" s="7">
        <v>5</v>
      </c>
      <c r="AO27" s="6">
        <f t="shared" si="42"/>
        <v>5000</v>
      </c>
      <c r="AP27" s="6">
        <f t="shared" si="43"/>
        <v>5000</v>
      </c>
      <c r="AQ27" s="7">
        <v>5</v>
      </c>
      <c r="AR27" s="7">
        <f t="shared" si="44"/>
        <v>5000</v>
      </c>
      <c r="AS27" s="6">
        <f t="shared" si="45"/>
        <v>5000</v>
      </c>
      <c r="AT27" s="6">
        <v>5</v>
      </c>
      <c r="AU27" s="7">
        <f t="shared" si="46"/>
        <v>5000</v>
      </c>
      <c r="AV27" s="7">
        <f t="shared" si="47"/>
        <v>5000</v>
      </c>
      <c r="AW27" s="6">
        <v>5</v>
      </c>
      <c r="AX27" s="6">
        <f t="shared" si="48"/>
        <v>5000</v>
      </c>
      <c r="AY27" s="7">
        <f t="shared" si="49"/>
        <v>5000</v>
      </c>
      <c r="AZ27" s="7">
        <v>5</v>
      </c>
      <c r="BA27" s="6">
        <v>0</v>
      </c>
      <c r="BB27" s="6">
        <f t="shared" si="50"/>
        <v>60000</v>
      </c>
      <c r="BC27" s="7">
        <f t="shared" si="51"/>
        <v>60000</v>
      </c>
      <c r="BD27" s="7">
        <v>5</v>
      </c>
    </row>
    <row r="28" spans="1:57" s="4" customFormat="1">
      <c r="B28" s="4" t="s">
        <v>69</v>
      </c>
      <c r="C28" s="5" t="s">
        <v>55</v>
      </c>
      <c r="D28" s="5" t="s">
        <v>56</v>
      </c>
      <c r="E28" s="4" t="s">
        <v>119</v>
      </c>
      <c r="F28" s="4" t="s">
        <v>120</v>
      </c>
      <c r="G28" s="5"/>
      <c r="H28" s="5" t="s">
        <v>121</v>
      </c>
      <c r="I28" s="4">
        <v>5841813202</v>
      </c>
      <c r="J28" s="4" t="s">
        <v>60</v>
      </c>
      <c r="K28" s="5" t="s">
        <v>121</v>
      </c>
      <c r="L28" s="5" t="s">
        <v>66</v>
      </c>
      <c r="M28" s="4" t="s">
        <v>67</v>
      </c>
      <c r="N28" s="4" t="s">
        <v>74</v>
      </c>
      <c r="O28" s="5"/>
      <c r="P28" s="5" t="s">
        <v>69</v>
      </c>
      <c r="Q28" s="4">
        <f t="shared" si="26"/>
        <v>4000</v>
      </c>
      <c r="R28" s="4">
        <f t="shared" si="27"/>
        <v>4000</v>
      </c>
      <c r="S28" s="5">
        <v>4</v>
      </c>
      <c r="T28" s="5">
        <f t="shared" si="28"/>
        <v>4000</v>
      </c>
      <c r="U28" s="4">
        <f t="shared" si="29"/>
        <v>4000</v>
      </c>
      <c r="V28" s="4">
        <v>4</v>
      </c>
      <c r="W28" s="5">
        <f t="shared" si="30"/>
        <v>4000</v>
      </c>
      <c r="X28" s="5">
        <f t="shared" si="31"/>
        <v>4000</v>
      </c>
      <c r="Y28" s="4">
        <v>4</v>
      </c>
      <c r="Z28" s="4">
        <f t="shared" si="32"/>
        <v>4000</v>
      </c>
      <c r="AA28" s="5">
        <f t="shared" si="33"/>
        <v>4000</v>
      </c>
      <c r="AB28" s="5">
        <v>4</v>
      </c>
      <c r="AC28" s="4">
        <f t="shared" si="34"/>
        <v>4000</v>
      </c>
      <c r="AD28" s="4">
        <f t="shared" si="35"/>
        <v>4000</v>
      </c>
      <c r="AE28" s="5">
        <v>4</v>
      </c>
      <c r="AF28" s="5">
        <f t="shared" si="36"/>
        <v>4000</v>
      </c>
      <c r="AG28" s="4">
        <f t="shared" si="37"/>
        <v>4000</v>
      </c>
      <c r="AH28" s="4">
        <v>4</v>
      </c>
      <c r="AI28" s="5">
        <f t="shared" si="38"/>
        <v>4000</v>
      </c>
      <c r="AJ28" s="5">
        <f t="shared" si="39"/>
        <v>4000</v>
      </c>
      <c r="AK28" s="4">
        <v>4</v>
      </c>
      <c r="AL28" s="4">
        <f t="shared" si="40"/>
        <v>4000</v>
      </c>
      <c r="AM28" s="5">
        <f t="shared" si="41"/>
        <v>4000</v>
      </c>
      <c r="AN28" s="5">
        <v>4</v>
      </c>
      <c r="AO28" s="4">
        <f t="shared" si="42"/>
        <v>4000</v>
      </c>
      <c r="AP28" s="4">
        <f t="shared" si="43"/>
        <v>4000</v>
      </c>
      <c r="AQ28" s="5">
        <v>4</v>
      </c>
      <c r="AR28" s="5">
        <f t="shared" si="44"/>
        <v>4000</v>
      </c>
      <c r="AS28" s="4">
        <f t="shared" si="45"/>
        <v>4000</v>
      </c>
      <c r="AT28" s="4">
        <v>4</v>
      </c>
      <c r="AU28" s="5">
        <f t="shared" si="46"/>
        <v>4000</v>
      </c>
      <c r="AV28" s="5">
        <f t="shared" si="47"/>
        <v>4000</v>
      </c>
      <c r="AW28" s="4">
        <v>4</v>
      </c>
      <c r="AX28" s="4">
        <f t="shared" si="48"/>
        <v>4000</v>
      </c>
      <c r="AY28" s="5">
        <f t="shared" si="49"/>
        <v>4000</v>
      </c>
      <c r="AZ28" s="5">
        <v>4</v>
      </c>
      <c r="BA28" s="4">
        <v>0</v>
      </c>
      <c r="BB28" s="4">
        <f t="shared" si="50"/>
        <v>48000</v>
      </c>
      <c r="BC28" s="5">
        <f t="shared" si="51"/>
        <v>48000</v>
      </c>
      <c r="BD28" s="5">
        <v>4</v>
      </c>
    </row>
    <row r="29" spans="1:57" s="4" customFormat="1">
      <c r="A29" s="6"/>
      <c r="B29" s="6" t="s">
        <v>69</v>
      </c>
      <c r="C29" s="7" t="s">
        <v>133</v>
      </c>
      <c r="D29" s="7" t="s">
        <v>56</v>
      </c>
      <c r="E29" s="6" t="s">
        <v>63</v>
      </c>
      <c r="F29" s="6" t="s">
        <v>114</v>
      </c>
      <c r="G29" s="7"/>
      <c r="H29" s="7">
        <v>129855</v>
      </c>
      <c r="I29" s="6">
        <v>5841813202</v>
      </c>
      <c r="J29" s="6" t="s">
        <v>60</v>
      </c>
      <c r="K29" s="7" t="s">
        <v>115</v>
      </c>
      <c r="L29" s="7" t="s">
        <v>73</v>
      </c>
      <c r="M29" s="6" t="s">
        <v>67</v>
      </c>
      <c r="N29" s="6" t="s">
        <v>74</v>
      </c>
      <c r="O29" s="7"/>
      <c r="P29" s="7" t="s">
        <v>69</v>
      </c>
      <c r="Q29" s="6">
        <f t="shared" si="26"/>
        <v>3000</v>
      </c>
      <c r="R29" s="6">
        <f t="shared" si="27"/>
        <v>3000</v>
      </c>
      <c r="S29" s="7">
        <v>3</v>
      </c>
      <c r="T29" s="7">
        <f t="shared" si="28"/>
        <v>3000</v>
      </c>
      <c r="U29" s="6">
        <f t="shared" si="29"/>
        <v>3000</v>
      </c>
      <c r="V29" s="6">
        <v>3</v>
      </c>
      <c r="W29" s="7">
        <f t="shared" si="30"/>
        <v>3000</v>
      </c>
      <c r="X29" s="7">
        <f t="shared" si="31"/>
        <v>3000</v>
      </c>
      <c r="Y29" s="6">
        <v>3</v>
      </c>
      <c r="Z29" s="6">
        <f t="shared" si="32"/>
        <v>3000</v>
      </c>
      <c r="AA29" s="7">
        <f t="shared" si="33"/>
        <v>3000</v>
      </c>
      <c r="AB29" s="7">
        <v>3</v>
      </c>
      <c r="AC29" s="6">
        <f t="shared" si="34"/>
        <v>3000</v>
      </c>
      <c r="AD29" s="6">
        <f t="shared" si="35"/>
        <v>3000</v>
      </c>
      <c r="AE29" s="7">
        <v>3</v>
      </c>
      <c r="AF29" s="7">
        <f t="shared" si="36"/>
        <v>3000</v>
      </c>
      <c r="AG29" s="6">
        <f t="shared" si="37"/>
        <v>3000</v>
      </c>
      <c r="AH29" s="6">
        <v>3</v>
      </c>
      <c r="AI29" s="7">
        <f t="shared" si="38"/>
        <v>3000</v>
      </c>
      <c r="AJ29" s="7">
        <f t="shared" si="39"/>
        <v>3000</v>
      </c>
      <c r="AK29" s="6">
        <v>3</v>
      </c>
      <c r="AL29" s="6">
        <f t="shared" si="40"/>
        <v>3000</v>
      </c>
      <c r="AM29" s="7">
        <f t="shared" si="41"/>
        <v>3000</v>
      </c>
      <c r="AN29" s="7">
        <v>3</v>
      </c>
      <c r="AO29" s="6">
        <f t="shared" si="42"/>
        <v>3000</v>
      </c>
      <c r="AP29" s="6">
        <f t="shared" si="43"/>
        <v>3000</v>
      </c>
      <c r="AQ29" s="7">
        <v>3</v>
      </c>
      <c r="AR29" s="7">
        <f t="shared" si="44"/>
        <v>3000</v>
      </c>
      <c r="AS29" s="6">
        <f t="shared" si="45"/>
        <v>3000</v>
      </c>
      <c r="AT29" s="6">
        <v>3</v>
      </c>
      <c r="AU29" s="7">
        <f t="shared" si="46"/>
        <v>3000</v>
      </c>
      <c r="AV29" s="7">
        <f t="shared" si="47"/>
        <v>3000</v>
      </c>
      <c r="AW29" s="6">
        <v>3</v>
      </c>
      <c r="AX29" s="6">
        <f t="shared" si="48"/>
        <v>3000</v>
      </c>
      <c r="AY29" s="7">
        <f t="shared" si="49"/>
        <v>3000</v>
      </c>
      <c r="AZ29" s="7">
        <v>3</v>
      </c>
      <c r="BA29" s="6">
        <v>0</v>
      </c>
      <c r="BB29" s="6">
        <f t="shared" si="50"/>
        <v>36000</v>
      </c>
      <c r="BC29" s="7">
        <f t="shared" si="51"/>
        <v>36000</v>
      </c>
      <c r="BD29" s="7">
        <v>3</v>
      </c>
      <c r="BE29" s="6"/>
    </row>
    <row r="30" spans="1:57" s="6" customFormat="1">
      <c r="A30" s="4"/>
      <c r="B30" s="4"/>
      <c r="C30" s="5" t="s">
        <v>55</v>
      </c>
      <c r="D30" s="5" t="s">
        <v>56</v>
      </c>
      <c r="E30" s="4" t="s">
        <v>116</v>
      </c>
      <c r="F30" s="4" t="s">
        <v>117</v>
      </c>
      <c r="G30" s="5"/>
      <c r="H30" s="5">
        <v>365477</v>
      </c>
      <c r="I30" s="4">
        <v>5841813202</v>
      </c>
      <c r="J30" s="4" t="s">
        <v>60</v>
      </c>
      <c r="K30" s="5" t="s">
        <v>118</v>
      </c>
      <c r="L30" s="5" t="s">
        <v>73</v>
      </c>
      <c r="M30" s="4" t="s">
        <v>67</v>
      </c>
      <c r="N30" s="4" t="s">
        <v>74</v>
      </c>
      <c r="O30" s="5"/>
      <c r="P30" s="5" t="s">
        <v>69</v>
      </c>
      <c r="Q30" s="4">
        <f t="shared" si="26"/>
        <v>5000</v>
      </c>
      <c r="R30" s="4">
        <f t="shared" si="27"/>
        <v>5000</v>
      </c>
      <c r="S30" s="5">
        <v>5</v>
      </c>
      <c r="T30" s="5">
        <f t="shared" si="28"/>
        <v>5000</v>
      </c>
      <c r="U30" s="4">
        <f t="shared" si="29"/>
        <v>5000</v>
      </c>
      <c r="V30" s="4">
        <v>5</v>
      </c>
      <c r="W30" s="5">
        <f t="shared" si="30"/>
        <v>5000</v>
      </c>
      <c r="X30" s="5">
        <f t="shared" si="31"/>
        <v>5000</v>
      </c>
      <c r="Y30" s="4">
        <v>5</v>
      </c>
      <c r="Z30" s="4">
        <f t="shared" si="32"/>
        <v>5000</v>
      </c>
      <c r="AA30" s="5">
        <f t="shared" si="33"/>
        <v>5000</v>
      </c>
      <c r="AB30" s="5">
        <v>5</v>
      </c>
      <c r="AC30" s="4">
        <f t="shared" si="34"/>
        <v>5000</v>
      </c>
      <c r="AD30" s="4">
        <f t="shared" si="35"/>
        <v>5000</v>
      </c>
      <c r="AE30" s="5">
        <v>5</v>
      </c>
      <c r="AF30" s="5">
        <f t="shared" si="36"/>
        <v>5000</v>
      </c>
      <c r="AG30" s="4">
        <f t="shared" si="37"/>
        <v>5000</v>
      </c>
      <c r="AH30" s="4">
        <v>5</v>
      </c>
      <c r="AI30" s="5">
        <f t="shared" si="38"/>
        <v>5000</v>
      </c>
      <c r="AJ30" s="5">
        <f t="shared" si="39"/>
        <v>5000</v>
      </c>
      <c r="AK30" s="4">
        <v>5</v>
      </c>
      <c r="AL30" s="4">
        <f t="shared" si="40"/>
        <v>5000</v>
      </c>
      <c r="AM30" s="5">
        <f t="shared" si="41"/>
        <v>5000</v>
      </c>
      <c r="AN30" s="5">
        <v>5</v>
      </c>
      <c r="AO30" s="4">
        <f t="shared" si="42"/>
        <v>5000</v>
      </c>
      <c r="AP30" s="4">
        <f t="shared" si="43"/>
        <v>5000</v>
      </c>
      <c r="AQ30" s="5">
        <v>5</v>
      </c>
      <c r="AR30" s="5">
        <f t="shared" si="44"/>
        <v>5000</v>
      </c>
      <c r="AS30" s="4">
        <f t="shared" si="45"/>
        <v>5000</v>
      </c>
      <c r="AT30" s="4">
        <v>5</v>
      </c>
      <c r="AU30" s="5">
        <f t="shared" si="46"/>
        <v>5000</v>
      </c>
      <c r="AV30" s="5">
        <f t="shared" si="47"/>
        <v>5000</v>
      </c>
      <c r="AW30" s="4">
        <v>5</v>
      </c>
      <c r="AX30" s="4">
        <f t="shared" si="48"/>
        <v>5000</v>
      </c>
      <c r="AY30" s="5">
        <f t="shared" si="49"/>
        <v>5000</v>
      </c>
      <c r="AZ30" s="5">
        <v>5</v>
      </c>
      <c r="BA30" s="4">
        <v>0</v>
      </c>
      <c r="BB30" s="4">
        <f t="shared" si="50"/>
        <v>60000</v>
      </c>
      <c r="BC30" s="5">
        <f t="shared" si="51"/>
        <v>60000</v>
      </c>
      <c r="BD30" s="5">
        <v>5</v>
      </c>
      <c r="BE30" s="4"/>
    </row>
    <row r="31" spans="1:57" s="4" customFormat="1">
      <c r="A31" s="6"/>
      <c r="B31" s="6"/>
      <c r="C31" s="7" t="s">
        <v>133</v>
      </c>
      <c r="D31" s="7" t="s">
        <v>56</v>
      </c>
      <c r="E31" s="6" t="s">
        <v>119</v>
      </c>
      <c r="F31" s="6" t="s">
        <v>120</v>
      </c>
      <c r="G31" s="7"/>
      <c r="H31" s="7" t="s">
        <v>121</v>
      </c>
      <c r="I31" s="6">
        <v>5841813202</v>
      </c>
      <c r="J31" s="6" t="s">
        <v>60</v>
      </c>
      <c r="K31" s="7" t="s">
        <v>121</v>
      </c>
      <c r="L31" s="7" t="s">
        <v>66</v>
      </c>
      <c r="M31" s="6" t="s">
        <v>67</v>
      </c>
      <c r="N31" s="6" t="s">
        <v>74</v>
      </c>
      <c r="O31" s="7"/>
      <c r="P31" s="7" t="s">
        <v>69</v>
      </c>
      <c r="Q31" s="6">
        <f t="shared" si="26"/>
        <v>4000</v>
      </c>
      <c r="R31" s="6">
        <f t="shared" si="27"/>
        <v>4000</v>
      </c>
      <c r="S31" s="7">
        <v>4</v>
      </c>
      <c r="T31" s="7">
        <f t="shared" si="28"/>
        <v>4000</v>
      </c>
      <c r="U31" s="6">
        <f t="shared" si="29"/>
        <v>4000</v>
      </c>
      <c r="V31" s="6">
        <v>4</v>
      </c>
      <c r="W31" s="7">
        <f t="shared" si="30"/>
        <v>4000</v>
      </c>
      <c r="X31" s="7">
        <f t="shared" si="31"/>
        <v>4000</v>
      </c>
      <c r="Y31" s="6">
        <v>4</v>
      </c>
      <c r="Z31" s="6">
        <f t="shared" si="32"/>
        <v>4000</v>
      </c>
      <c r="AA31" s="7">
        <f t="shared" si="33"/>
        <v>4000</v>
      </c>
      <c r="AB31" s="7">
        <v>4</v>
      </c>
      <c r="AC31" s="6">
        <f t="shared" si="34"/>
        <v>4000</v>
      </c>
      <c r="AD31" s="6">
        <f t="shared" si="35"/>
        <v>4000</v>
      </c>
      <c r="AE31" s="7">
        <v>4</v>
      </c>
      <c r="AF31" s="7">
        <f t="shared" si="36"/>
        <v>4000</v>
      </c>
      <c r="AG31" s="6">
        <f t="shared" si="37"/>
        <v>4000</v>
      </c>
      <c r="AH31" s="6">
        <v>4</v>
      </c>
      <c r="AI31" s="7">
        <f t="shared" si="38"/>
        <v>4000</v>
      </c>
      <c r="AJ31" s="7">
        <f t="shared" si="39"/>
        <v>4000</v>
      </c>
      <c r="AK31" s="6">
        <v>4</v>
      </c>
      <c r="AL31" s="6">
        <f t="shared" si="40"/>
        <v>4000</v>
      </c>
      <c r="AM31" s="7">
        <f t="shared" si="41"/>
        <v>4000</v>
      </c>
      <c r="AN31" s="7">
        <v>4</v>
      </c>
      <c r="AO31" s="6">
        <f t="shared" si="42"/>
        <v>4000</v>
      </c>
      <c r="AP31" s="6">
        <f t="shared" si="43"/>
        <v>4000</v>
      </c>
      <c r="AQ31" s="7">
        <v>4</v>
      </c>
      <c r="AR31" s="7">
        <f t="shared" si="44"/>
        <v>4000</v>
      </c>
      <c r="AS31" s="6">
        <f t="shared" si="45"/>
        <v>4000</v>
      </c>
      <c r="AT31" s="6">
        <v>4</v>
      </c>
      <c r="AU31" s="7">
        <f t="shared" si="46"/>
        <v>4000</v>
      </c>
      <c r="AV31" s="7">
        <f t="shared" si="47"/>
        <v>4000</v>
      </c>
      <c r="AW31" s="6">
        <v>4</v>
      </c>
      <c r="AX31" s="6">
        <f t="shared" si="48"/>
        <v>4000</v>
      </c>
      <c r="AY31" s="7">
        <f t="shared" si="49"/>
        <v>4000</v>
      </c>
      <c r="AZ31" s="7">
        <v>4</v>
      </c>
      <c r="BA31" s="6">
        <v>0</v>
      </c>
      <c r="BB31" s="6">
        <f t="shared" si="50"/>
        <v>48000</v>
      </c>
      <c r="BC31" s="7">
        <f t="shared" si="51"/>
        <v>48000</v>
      </c>
      <c r="BD31" s="7">
        <v>4</v>
      </c>
      <c r="BE31" s="6"/>
    </row>
    <row r="32" spans="1:57" s="6" customFormat="1">
      <c r="A32" s="4"/>
      <c r="B32" s="4"/>
      <c r="C32" s="5" t="s">
        <v>55</v>
      </c>
      <c r="D32" s="5" t="s">
        <v>56</v>
      </c>
      <c r="E32" s="4" t="s">
        <v>75</v>
      </c>
      <c r="F32" s="4" t="s">
        <v>122</v>
      </c>
      <c r="G32" s="5"/>
      <c r="H32" s="5">
        <v>38617005</v>
      </c>
      <c r="I32" s="4">
        <v>5841843202</v>
      </c>
      <c r="J32" s="4" t="s">
        <v>60</v>
      </c>
      <c r="K32" s="5" t="s">
        <v>123</v>
      </c>
      <c r="L32" s="5" t="s">
        <v>73</v>
      </c>
      <c r="M32" s="4" t="s">
        <v>79</v>
      </c>
      <c r="N32" s="4" t="s">
        <v>74</v>
      </c>
      <c r="O32" s="5"/>
      <c r="P32" s="5" t="s">
        <v>69</v>
      </c>
      <c r="Q32" s="4">
        <f t="shared" si="26"/>
        <v>3000</v>
      </c>
      <c r="R32" s="4">
        <f t="shared" si="27"/>
        <v>3000</v>
      </c>
      <c r="S32" s="5">
        <v>3</v>
      </c>
      <c r="T32" s="5">
        <f t="shared" si="28"/>
        <v>3000</v>
      </c>
      <c r="U32" s="4">
        <f t="shared" si="29"/>
        <v>3000</v>
      </c>
      <c r="V32" s="4">
        <v>3</v>
      </c>
      <c r="W32" s="5">
        <f t="shared" si="30"/>
        <v>3000</v>
      </c>
      <c r="X32" s="5">
        <f t="shared" si="31"/>
        <v>3000</v>
      </c>
      <c r="Y32" s="4">
        <v>3</v>
      </c>
      <c r="Z32" s="4">
        <f t="shared" si="32"/>
        <v>0</v>
      </c>
      <c r="AA32" s="5">
        <f t="shared" si="33"/>
        <v>0</v>
      </c>
      <c r="AB32" s="5">
        <v>0</v>
      </c>
      <c r="AC32" s="4">
        <f t="shared" si="34"/>
        <v>0</v>
      </c>
      <c r="AD32" s="4">
        <f t="shared" si="35"/>
        <v>0</v>
      </c>
      <c r="AE32" s="5">
        <v>0</v>
      </c>
      <c r="AF32" s="5">
        <f t="shared" si="36"/>
        <v>0</v>
      </c>
      <c r="AG32" s="4">
        <f t="shared" si="37"/>
        <v>0</v>
      </c>
      <c r="AH32" s="4">
        <v>0</v>
      </c>
      <c r="AI32" s="5">
        <f t="shared" si="38"/>
        <v>0</v>
      </c>
      <c r="AJ32" s="5">
        <f t="shared" si="39"/>
        <v>0</v>
      </c>
      <c r="AK32" s="4">
        <v>0</v>
      </c>
      <c r="AL32" s="4">
        <f t="shared" si="40"/>
        <v>0</v>
      </c>
      <c r="AM32" s="5">
        <f t="shared" si="41"/>
        <v>0</v>
      </c>
      <c r="AN32" s="5">
        <v>0</v>
      </c>
      <c r="AO32" s="4">
        <f t="shared" si="42"/>
        <v>0</v>
      </c>
      <c r="AP32" s="4">
        <f t="shared" si="43"/>
        <v>0</v>
      </c>
      <c r="AQ32" s="5">
        <v>0</v>
      </c>
      <c r="AR32" s="5">
        <f t="shared" si="44"/>
        <v>0</v>
      </c>
      <c r="AS32" s="4">
        <f t="shared" si="45"/>
        <v>0</v>
      </c>
      <c r="AT32" s="4">
        <v>0</v>
      </c>
      <c r="AU32" s="5">
        <f t="shared" si="46"/>
        <v>0</v>
      </c>
      <c r="AV32" s="5">
        <f t="shared" si="47"/>
        <v>0</v>
      </c>
      <c r="AW32" s="4">
        <v>0</v>
      </c>
      <c r="AX32" s="4">
        <f t="shared" si="48"/>
        <v>0</v>
      </c>
      <c r="AY32" s="5">
        <f t="shared" si="49"/>
        <v>0</v>
      </c>
      <c r="AZ32" s="5">
        <v>0</v>
      </c>
      <c r="BA32" s="4">
        <v>0</v>
      </c>
      <c r="BB32" s="4">
        <f t="shared" si="50"/>
        <v>9000</v>
      </c>
      <c r="BC32" s="5">
        <f t="shared" si="51"/>
        <v>9000</v>
      </c>
      <c r="BD32" s="5">
        <v>0.8</v>
      </c>
      <c r="BE32" s="4"/>
    </row>
    <row r="34" spans="5:109" s="15" customFormat="1">
      <c r="E34" s="7"/>
      <c r="F34" s="7" t="s">
        <v>124</v>
      </c>
      <c r="G34" s="7"/>
      <c r="H34" s="7"/>
      <c r="I34" s="7"/>
      <c r="J34" s="7"/>
      <c r="K34" s="7"/>
      <c r="L34" s="7"/>
      <c r="M34" s="7"/>
      <c r="N34" s="7"/>
      <c r="O34" s="7"/>
      <c r="P34" s="7"/>
      <c r="Q34" s="16"/>
      <c r="R34" s="16"/>
      <c r="S34" s="17"/>
      <c r="T34" s="17"/>
      <c r="U34" s="18">
        <v>0</v>
      </c>
      <c r="V34" s="18">
        <v>0</v>
      </c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18"/>
      <c r="AP34" s="18"/>
      <c r="AQ34" s="18"/>
      <c r="AR34" s="18"/>
      <c r="AS34" s="18"/>
      <c r="AT34" s="18"/>
      <c r="AU34" s="18"/>
      <c r="AV34" s="18">
        <v>0</v>
      </c>
      <c r="AW34" s="18">
        <v>0</v>
      </c>
      <c r="AX34" s="18"/>
      <c r="AY34" s="18"/>
      <c r="AZ34" s="18"/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>
        <v>0</v>
      </c>
      <c r="BL34" s="18"/>
      <c r="BM34" s="18"/>
      <c r="BN34" s="18"/>
      <c r="BO34" s="18"/>
      <c r="BP34" s="18"/>
      <c r="BQ34" s="18"/>
      <c r="BR34" s="18"/>
      <c r="BS34" s="18"/>
      <c r="BT34" s="18"/>
      <c r="BU34" s="18"/>
      <c r="BV34" s="18"/>
      <c r="BW34" s="18"/>
      <c r="BX34" s="18"/>
      <c r="BY34" s="18"/>
      <c r="BZ34" s="18"/>
      <c r="CA34" s="18"/>
      <c r="CB34" s="18"/>
      <c r="CC34" s="18"/>
      <c r="CD34" s="18"/>
      <c r="CE34" s="18"/>
      <c r="CF34" s="18"/>
      <c r="CG34" s="18"/>
      <c r="CH34" s="18"/>
      <c r="CI34" s="18"/>
      <c r="CJ34" s="18"/>
      <c r="CK34" s="18"/>
      <c r="CL34" s="18"/>
      <c r="CM34" s="18"/>
      <c r="CN34" s="18"/>
      <c r="CO34" s="18"/>
      <c r="CP34" s="18"/>
      <c r="CQ34" s="18"/>
      <c r="CR34" s="19"/>
      <c r="CS34" s="18"/>
      <c r="CT34" s="18"/>
      <c r="CU34" s="18"/>
      <c r="CV34" s="18"/>
      <c r="CW34" s="18"/>
      <c r="CX34" s="18"/>
      <c r="CY34" s="18"/>
      <c r="CZ34" s="18"/>
      <c r="DA34" s="18"/>
      <c r="DB34" s="18"/>
      <c r="DC34" s="18"/>
      <c r="DD34" s="18"/>
      <c r="DE34" s="18"/>
    </row>
    <row r="35" spans="5:109" s="20" customFormat="1">
      <c r="E35" s="5"/>
      <c r="F35" s="5" t="s">
        <v>137</v>
      </c>
      <c r="G35" s="5"/>
      <c r="H35" s="5"/>
      <c r="I35" s="5"/>
      <c r="J35" s="5"/>
      <c r="K35" s="5"/>
      <c r="L35" s="5"/>
      <c r="M35" s="5"/>
      <c r="N35" s="5"/>
      <c r="O35" s="5"/>
      <c r="P35" s="5"/>
      <c r="Q35" s="21"/>
      <c r="R35" s="21"/>
      <c r="S35" s="22"/>
      <c r="T35" s="22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>
        <v>0</v>
      </c>
      <c r="AW35" s="23">
        <v>0</v>
      </c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  <c r="BJ35" s="23"/>
      <c r="BK35" s="23">
        <v>0</v>
      </c>
      <c r="BL35" s="23"/>
      <c r="BM35" s="23"/>
      <c r="BN35" s="23"/>
      <c r="BO35" s="23"/>
      <c r="BP35" s="23"/>
      <c r="BQ35" s="23"/>
      <c r="BR35" s="23"/>
      <c r="BS35" s="23"/>
      <c r="BT35" s="23"/>
      <c r="BU35" s="23"/>
      <c r="BV35" s="23"/>
      <c r="BW35" s="23"/>
      <c r="BX35" s="23"/>
      <c r="BY35" s="23"/>
      <c r="BZ35" s="23"/>
      <c r="CA35" s="23"/>
      <c r="CB35" s="23"/>
      <c r="CC35" s="23"/>
      <c r="CD35" s="23"/>
      <c r="CE35" s="23"/>
      <c r="CF35" s="23"/>
      <c r="CG35" s="23"/>
      <c r="CH35" s="23"/>
      <c r="CI35" s="23"/>
      <c r="CJ35" s="23"/>
      <c r="CK35" s="23"/>
      <c r="CL35" s="23"/>
      <c r="CM35" s="23"/>
      <c r="CN35" s="23"/>
      <c r="CO35" s="23"/>
      <c r="CP35" s="23"/>
      <c r="CQ35" s="23"/>
      <c r="CR35" s="24"/>
      <c r="CS35" s="23"/>
      <c r="CT35" s="23"/>
      <c r="CU35" s="23"/>
      <c r="CV35" s="23"/>
      <c r="CW35" s="23"/>
      <c r="CX35" s="23"/>
      <c r="CY35" s="23"/>
      <c r="CZ35" s="23"/>
      <c r="DA35" s="23"/>
      <c r="DB35" s="23"/>
      <c r="DC35" s="23"/>
      <c r="DD35" s="23"/>
      <c r="DE35" s="23"/>
    </row>
    <row r="36" spans="5:109" s="15" customFormat="1">
      <c r="E36" s="7"/>
      <c r="F36" s="7" t="s">
        <v>138</v>
      </c>
      <c r="G36" s="7"/>
      <c r="H36" s="7"/>
      <c r="I36" s="7"/>
      <c r="J36" s="7"/>
      <c r="K36" s="7"/>
      <c r="L36" s="7"/>
      <c r="M36" s="7"/>
      <c r="N36" s="7"/>
      <c r="O36" s="7"/>
      <c r="P36" s="7"/>
      <c r="Q36" s="16"/>
      <c r="R36" s="16"/>
      <c r="S36" s="17"/>
      <c r="T36" s="17"/>
      <c r="U36" s="18"/>
      <c r="V36" s="18"/>
      <c r="W36" s="18"/>
      <c r="X36" s="25"/>
      <c r="Y36" s="18"/>
      <c r="Z36" s="18"/>
      <c r="AA36" s="18"/>
      <c r="AB36" s="18"/>
      <c r="AC36" s="18"/>
      <c r="AD36" s="18"/>
      <c r="AE36" s="25"/>
      <c r="AF36" s="18"/>
      <c r="AG36" s="18"/>
      <c r="AH36" s="18"/>
      <c r="AI36" s="18"/>
      <c r="AJ36" s="18"/>
      <c r="AK36" s="18"/>
      <c r="AL36" s="25"/>
      <c r="AM36" s="18"/>
      <c r="AN36" s="18"/>
      <c r="AO36" s="18"/>
      <c r="AP36" s="18"/>
      <c r="AQ36" s="18"/>
      <c r="AR36" s="18"/>
      <c r="AS36" s="25"/>
      <c r="AT36" s="18"/>
      <c r="AU36" s="18"/>
      <c r="AV36" s="18">
        <v>0</v>
      </c>
      <c r="AW36" s="18">
        <v>0</v>
      </c>
      <c r="AX36" s="18"/>
      <c r="AY36" s="18"/>
      <c r="AZ36" s="25"/>
      <c r="BA36" s="18"/>
      <c r="BB36" s="18"/>
      <c r="BC36" s="18"/>
      <c r="BD36" s="18"/>
      <c r="BE36" s="18"/>
      <c r="BF36" s="18"/>
      <c r="BG36" s="25"/>
      <c r="BH36" s="18"/>
      <c r="BI36" s="18"/>
      <c r="BJ36" s="18"/>
      <c r="BK36" s="18">
        <v>0</v>
      </c>
      <c r="BL36" s="18"/>
      <c r="BM36" s="18"/>
      <c r="BN36" s="25"/>
      <c r="BO36" s="18"/>
      <c r="BP36" s="18"/>
      <c r="BQ36" s="18"/>
      <c r="BR36" s="18"/>
      <c r="BS36" s="25"/>
      <c r="BT36" s="18"/>
      <c r="BU36" s="18"/>
      <c r="BV36" s="18"/>
      <c r="BW36" s="18"/>
      <c r="BX36" s="25"/>
      <c r="BY36" s="18"/>
      <c r="BZ36" s="18"/>
      <c r="CA36" s="18"/>
      <c r="CB36" s="18"/>
      <c r="CC36" s="25"/>
      <c r="CD36" s="18"/>
      <c r="CE36" s="18"/>
      <c r="CF36" s="18"/>
      <c r="CG36" s="18"/>
      <c r="CH36" s="25"/>
      <c r="CI36" s="18"/>
      <c r="CJ36" s="18"/>
      <c r="CK36" s="18"/>
      <c r="CL36" s="18"/>
      <c r="CM36" s="25"/>
      <c r="CN36" s="18"/>
      <c r="CO36" s="18"/>
      <c r="CP36" s="18"/>
      <c r="CQ36" s="18"/>
      <c r="CR36" s="19"/>
      <c r="CS36" s="18"/>
      <c r="CT36" s="18"/>
      <c r="CU36" s="18"/>
      <c r="CV36" s="18"/>
      <c r="CW36" s="18"/>
      <c r="CX36" s="18"/>
      <c r="CY36" s="18"/>
      <c r="CZ36" s="18"/>
      <c r="DA36" s="18"/>
      <c r="DB36" s="18"/>
      <c r="DC36" s="18"/>
      <c r="DD36" s="18"/>
      <c r="DE36" s="25"/>
    </row>
    <row r="37" spans="5:109" s="20" customFormat="1">
      <c r="E37" s="5"/>
      <c r="F37" s="5" t="s">
        <v>139</v>
      </c>
      <c r="G37" s="5"/>
      <c r="H37" s="5"/>
      <c r="I37" s="5"/>
      <c r="J37" s="5"/>
      <c r="K37" s="5"/>
      <c r="L37" s="5"/>
      <c r="M37" s="5"/>
      <c r="N37" s="5"/>
      <c r="O37" s="5"/>
      <c r="P37" s="5"/>
      <c r="Q37" s="21"/>
      <c r="R37" s="21"/>
      <c r="S37" s="22"/>
      <c r="T37" s="22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>
        <v>0</v>
      </c>
      <c r="AW37" s="23">
        <v>0</v>
      </c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  <c r="BJ37" s="23"/>
      <c r="BK37" s="23">
        <v>0</v>
      </c>
      <c r="BL37" s="23"/>
      <c r="BM37" s="23"/>
      <c r="BN37" s="23"/>
      <c r="BO37" s="23"/>
      <c r="BP37" s="23"/>
      <c r="BQ37" s="23"/>
      <c r="BR37" s="23"/>
      <c r="BS37" s="23"/>
      <c r="BT37" s="23"/>
      <c r="BU37" s="23"/>
      <c r="BV37" s="23"/>
      <c r="BW37" s="23"/>
      <c r="BX37" s="23"/>
      <c r="BY37" s="23"/>
      <c r="BZ37" s="23"/>
      <c r="CA37" s="23"/>
      <c r="CB37" s="23"/>
      <c r="CC37" s="23"/>
      <c r="CD37" s="23"/>
      <c r="CE37" s="23"/>
      <c r="CF37" s="23"/>
      <c r="CG37" s="23"/>
      <c r="CH37" s="23"/>
      <c r="CI37" s="23"/>
      <c r="CJ37" s="23"/>
      <c r="CK37" s="23"/>
      <c r="CL37" s="23"/>
      <c r="CM37" s="23"/>
      <c r="CN37" s="23"/>
      <c r="CO37" s="23"/>
      <c r="CP37" s="23"/>
      <c r="CQ37" s="23"/>
      <c r="CR37" s="24"/>
      <c r="CS37" s="23"/>
      <c r="CT37" s="23"/>
      <c r="CU37" s="23"/>
      <c r="CV37" s="23"/>
      <c r="CW37" s="23"/>
      <c r="CX37" s="23"/>
      <c r="CY37" s="23"/>
      <c r="CZ37" s="23"/>
      <c r="DA37" s="23"/>
      <c r="DB37" s="23"/>
      <c r="DC37" s="23"/>
      <c r="DD37" s="23"/>
      <c r="DE37" s="23"/>
    </row>
    <row r="38" spans="5:109" s="15" customFormat="1">
      <c r="E38" s="7"/>
      <c r="F38" s="7" t="s">
        <v>140</v>
      </c>
      <c r="G38" s="7"/>
      <c r="H38" s="7"/>
      <c r="I38" s="7"/>
      <c r="J38" s="7"/>
      <c r="K38" s="7"/>
      <c r="L38" s="7"/>
      <c r="M38" s="7"/>
      <c r="N38" s="7"/>
      <c r="O38" s="7"/>
      <c r="P38" s="7"/>
      <c r="Q38" s="16"/>
      <c r="R38" s="16"/>
      <c r="S38" s="17"/>
      <c r="T38" s="17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/>
      <c r="AG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  <c r="AV38" s="18">
        <v>0</v>
      </c>
      <c r="AW38" s="18">
        <v>0</v>
      </c>
      <c r="AX38" s="18"/>
      <c r="AY38" s="18"/>
      <c r="AZ38" s="18"/>
      <c r="BA38" s="18"/>
      <c r="BB38" s="18"/>
      <c r="BC38" s="18"/>
      <c r="BD38" s="18"/>
      <c r="BE38" s="18"/>
      <c r="BF38" s="18"/>
      <c r="BG38" s="18"/>
      <c r="BH38" s="18"/>
      <c r="BI38" s="18"/>
      <c r="BJ38" s="18"/>
      <c r="BK38" s="18">
        <v>0</v>
      </c>
      <c r="BL38" s="18"/>
      <c r="BM38" s="18"/>
      <c r="BN38" s="18"/>
      <c r="BO38" s="18"/>
      <c r="BP38" s="18"/>
      <c r="BQ38" s="18"/>
      <c r="BR38" s="18"/>
      <c r="BS38" s="18"/>
      <c r="BT38" s="18"/>
      <c r="BU38" s="18"/>
      <c r="BV38" s="18"/>
      <c r="BW38" s="18"/>
      <c r="BX38" s="18"/>
      <c r="BY38" s="18"/>
      <c r="BZ38" s="18"/>
      <c r="CA38" s="18"/>
      <c r="CB38" s="18"/>
      <c r="CC38" s="18"/>
      <c r="CD38" s="18"/>
      <c r="CE38" s="18"/>
      <c r="CF38" s="18"/>
      <c r="CG38" s="18"/>
      <c r="CH38" s="18"/>
      <c r="CI38" s="18"/>
      <c r="CJ38" s="18"/>
      <c r="CK38" s="18"/>
      <c r="CL38" s="18"/>
      <c r="CM38" s="18"/>
      <c r="CN38" s="18"/>
      <c r="CO38" s="18"/>
      <c r="CP38" s="18"/>
      <c r="CQ38" s="18"/>
      <c r="CR38" s="19"/>
      <c r="CS38" s="18"/>
      <c r="CT38" s="18"/>
      <c r="CU38" s="18"/>
      <c r="CV38" s="18"/>
      <c r="CW38" s="18"/>
      <c r="CX38" s="18"/>
      <c r="CY38" s="18"/>
      <c r="CZ38" s="18"/>
      <c r="DA38" s="18"/>
      <c r="DB38" s="18"/>
      <c r="DC38" s="18"/>
      <c r="DD38" s="18"/>
      <c r="DE38" s="18"/>
    </row>
    <row r="39" spans="5:109" s="20" customFormat="1">
      <c r="E39" s="5"/>
      <c r="F39" s="5" t="s">
        <v>141</v>
      </c>
      <c r="G39" s="5"/>
      <c r="H39" s="5"/>
      <c r="I39" s="5"/>
      <c r="J39" s="5"/>
      <c r="K39" s="5"/>
      <c r="L39" s="5"/>
      <c r="M39" s="5"/>
      <c r="N39" s="5"/>
      <c r="O39" s="5"/>
      <c r="P39" s="5"/>
      <c r="Q39" s="21"/>
      <c r="R39" s="21"/>
      <c r="S39" s="22"/>
      <c r="T39" s="22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  <c r="AU39" s="23"/>
      <c r="AV39" s="23">
        <v>0</v>
      </c>
      <c r="AW39" s="23">
        <v>0</v>
      </c>
      <c r="AX39" s="23"/>
      <c r="AY39" s="23"/>
      <c r="AZ39" s="23"/>
      <c r="BA39" s="23"/>
      <c r="BB39" s="23"/>
      <c r="BC39" s="23"/>
      <c r="BD39" s="23"/>
      <c r="BE39" s="23"/>
      <c r="BF39" s="23"/>
      <c r="BG39" s="23"/>
      <c r="BH39" s="23"/>
      <c r="BI39" s="23"/>
      <c r="BJ39" s="23"/>
      <c r="BK39" s="23">
        <v>0</v>
      </c>
      <c r="BL39" s="23"/>
      <c r="BM39" s="23"/>
      <c r="BN39" s="23"/>
      <c r="BO39" s="23"/>
      <c r="BP39" s="23"/>
      <c r="BQ39" s="23"/>
      <c r="BR39" s="23"/>
      <c r="BS39" s="23"/>
      <c r="BT39" s="23"/>
      <c r="BU39" s="23"/>
      <c r="BV39" s="23"/>
      <c r="BW39" s="23"/>
      <c r="BX39" s="23"/>
      <c r="BY39" s="23"/>
      <c r="BZ39" s="23"/>
      <c r="CA39" s="23"/>
      <c r="CB39" s="23"/>
      <c r="CC39" s="23"/>
      <c r="CD39" s="23"/>
      <c r="CE39" s="23"/>
      <c r="CF39" s="23"/>
      <c r="CG39" s="23"/>
      <c r="CH39" s="23"/>
      <c r="CI39" s="23"/>
      <c r="CJ39" s="23"/>
      <c r="CK39" s="23"/>
      <c r="CL39" s="23"/>
      <c r="CM39" s="23"/>
      <c r="CN39" s="23"/>
      <c r="CO39" s="23"/>
      <c r="CP39" s="23"/>
      <c r="CQ39" s="23"/>
      <c r="CR39" s="24"/>
      <c r="CS39" s="23"/>
      <c r="CT39" s="23"/>
      <c r="CU39" s="23"/>
      <c r="CV39" s="23"/>
      <c r="CW39" s="23"/>
      <c r="CX39" s="23"/>
      <c r="CY39" s="23"/>
      <c r="CZ39" s="23"/>
      <c r="DA39" s="23"/>
      <c r="DB39" s="23"/>
      <c r="DC39" s="23"/>
      <c r="DD39" s="23"/>
      <c r="DE39" s="23"/>
    </row>
    <row r="40" spans="5:109" s="15" customFormat="1">
      <c r="E40" s="7"/>
      <c r="F40" s="7" t="s">
        <v>142</v>
      </c>
      <c r="G40" s="7"/>
      <c r="H40" s="7"/>
      <c r="I40" s="7"/>
      <c r="J40" s="7"/>
      <c r="K40" s="7"/>
      <c r="L40" s="7"/>
      <c r="M40" s="7"/>
      <c r="N40" s="7"/>
      <c r="O40" s="7"/>
      <c r="P40" s="7"/>
      <c r="Q40" s="16"/>
      <c r="R40" s="16"/>
      <c r="S40" s="17"/>
      <c r="T40" s="17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/>
      <c r="AG40" s="18"/>
      <c r="AH40" s="18"/>
      <c r="AI40" s="18"/>
      <c r="AJ40" s="18"/>
      <c r="AK40" s="18"/>
      <c r="AL40" s="18"/>
      <c r="AM40" s="18"/>
      <c r="AN40" s="18"/>
      <c r="AO40" s="18"/>
      <c r="AP40" s="18"/>
      <c r="AQ40" s="18"/>
      <c r="AR40" s="18"/>
      <c r="AS40" s="18"/>
      <c r="AT40" s="18"/>
      <c r="AU40" s="18"/>
      <c r="AV40" s="18">
        <v>0</v>
      </c>
      <c r="AW40" s="18">
        <v>0</v>
      </c>
      <c r="AX40" s="18"/>
      <c r="AY40" s="18"/>
      <c r="AZ40" s="18"/>
      <c r="BA40" s="18"/>
      <c r="BB40" s="18"/>
      <c r="BC40" s="18"/>
      <c r="BD40" s="18"/>
      <c r="BE40" s="18"/>
      <c r="BF40" s="18"/>
      <c r="BG40" s="18"/>
      <c r="BH40" s="18"/>
      <c r="BI40" s="18"/>
      <c r="BJ40" s="18"/>
      <c r="BK40" s="18">
        <v>0</v>
      </c>
      <c r="BL40" s="18"/>
      <c r="BM40" s="18"/>
      <c r="BN40" s="18"/>
      <c r="BO40" s="18"/>
      <c r="BP40" s="18"/>
      <c r="BQ40" s="18"/>
      <c r="BR40" s="18"/>
      <c r="BS40" s="18"/>
      <c r="BT40" s="18"/>
      <c r="BU40" s="18"/>
      <c r="BV40" s="18"/>
      <c r="BW40" s="18"/>
      <c r="BX40" s="18"/>
      <c r="BY40" s="18"/>
      <c r="BZ40" s="18"/>
      <c r="CA40" s="18"/>
      <c r="CB40" s="18"/>
      <c r="CC40" s="18"/>
      <c r="CD40" s="18"/>
      <c r="CE40" s="18"/>
      <c r="CF40" s="18"/>
      <c r="CG40" s="18"/>
      <c r="CH40" s="18"/>
      <c r="CI40" s="18"/>
      <c r="CJ40" s="18"/>
      <c r="CK40" s="18"/>
      <c r="CL40" s="18"/>
      <c r="CM40" s="18"/>
      <c r="CN40" s="18"/>
      <c r="CO40" s="18"/>
      <c r="CP40" s="18"/>
      <c r="CQ40" s="18"/>
      <c r="CR40" s="19"/>
      <c r="CS40" s="18"/>
      <c r="CT40" s="18"/>
      <c r="CU40" s="18"/>
      <c r="CV40" s="18"/>
      <c r="CW40" s="18"/>
      <c r="CX40" s="18"/>
      <c r="CY40" s="18"/>
      <c r="CZ40" s="18"/>
      <c r="DA40" s="18"/>
      <c r="DB40" s="18"/>
      <c r="DC40" s="18"/>
      <c r="DD40" s="18"/>
      <c r="DE40" s="18"/>
    </row>
    <row r="41" spans="5:109" s="20" customFormat="1">
      <c r="E41" s="5"/>
      <c r="F41" s="26" t="s">
        <v>143</v>
      </c>
      <c r="G41" s="5"/>
      <c r="H41" s="5"/>
      <c r="I41" s="5"/>
      <c r="J41" s="5"/>
      <c r="K41" s="5"/>
      <c r="L41" s="5"/>
      <c r="M41" s="5"/>
      <c r="N41" s="5"/>
      <c r="O41" s="5"/>
      <c r="P41" s="5"/>
      <c r="Q41" s="21"/>
      <c r="R41" s="21"/>
      <c r="S41" s="22"/>
      <c r="T41" s="22"/>
      <c r="U41" s="23"/>
      <c r="V41" s="23"/>
      <c r="W41" s="23"/>
      <c r="X41" s="27"/>
      <c r="Y41" s="23"/>
      <c r="Z41" s="23"/>
      <c r="AA41" s="23"/>
      <c r="AB41" s="23"/>
      <c r="AC41" s="23"/>
      <c r="AD41" s="23"/>
      <c r="AE41" s="27"/>
      <c r="AF41" s="23"/>
      <c r="AG41" s="23"/>
      <c r="AH41" s="23"/>
      <c r="AI41" s="23"/>
      <c r="AJ41" s="23"/>
      <c r="AK41" s="23">
        <v>100</v>
      </c>
      <c r="AL41" s="27">
        <v>100</v>
      </c>
      <c r="AM41" s="23"/>
      <c r="AN41" s="23"/>
      <c r="AO41" s="23"/>
      <c r="AP41" s="23"/>
      <c r="AQ41" s="23"/>
      <c r="AR41" s="23">
        <v>95</v>
      </c>
      <c r="AS41" s="27">
        <v>93.4</v>
      </c>
      <c r="AT41" s="23"/>
      <c r="AU41" s="23"/>
      <c r="AV41" s="23"/>
      <c r="AW41" s="23"/>
      <c r="AX41" s="23"/>
      <c r="AY41" s="23">
        <v>95</v>
      </c>
      <c r="AZ41" s="27">
        <v>93.4</v>
      </c>
      <c r="BA41" s="23"/>
      <c r="BB41" s="23"/>
      <c r="BC41" s="23"/>
      <c r="BD41" s="23"/>
      <c r="BE41" s="23"/>
      <c r="BF41" s="23">
        <v>95</v>
      </c>
      <c r="BG41" s="27">
        <v>93.4</v>
      </c>
      <c r="BH41" s="23"/>
      <c r="BI41" s="23"/>
      <c r="BJ41" s="23"/>
      <c r="BK41" s="23"/>
      <c r="BL41" s="23"/>
      <c r="BM41" s="23">
        <v>95</v>
      </c>
      <c r="BN41" s="27">
        <v>93.4</v>
      </c>
      <c r="BO41" s="23"/>
      <c r="BP41" s="23"/>
      <c r="BQ41" s="23"/>
      <c r="BR41" s="23">
        <v>95</v>
      </c>
      <c r="BS41" s="27">
        <v>93.4</v>
      </c>
      <c r="BT41" s="23"/>
      <c r="BU41" s="23"/>
      <c r="BV41" s="23"/>
      <c r="BW41" s="23">
        <v>95</v>
      </c>
      <c r="BX41" s="27">
        <v>93.4</v>
      </c>
      <c r="BY41" s="23"/>
      <c r="BZ41" s="23"/>
      <c r="CA41" s="23"/>
      <c r="CB41" s="23">
        <v>95</v>
      </c>
      <c r="CC41" s="27">
        <v>93.4</v>
      </c>
      <c r="CD41" s="23"/>
      <c r="CE41" s="23"/>
      <c r="CF41" s="23"/>
      <c r="CG41" s="23">
        <v>95</v>
      </c>
      <c r="CH41" s="27">
        <v>93.4</v>
      </c>
      <c r="CI41" s="23"/>
      <c r="CJ41" s="23"/>
      <c r="CK41" s="23"/>
      <c r="CL41" s="23">
        <v>95</v>
      </c>
      <c r="CM41" s="27">
        <v>93.4</v>
      </c>
      <c r="CN41" s="23"/>
      <c r="CO41" s="23"/>
      <c r="CP41" s="23"/>
      <c r="CQ41" s="23"/>
      <c r="CR41" s="24"/>
      <c r="CS41" s="23"/>
      <c r="CT41" s="23"/>
      <c r="CU41" s="23"/>
      <c r="CV41" s="23"/>
      <c r="CW41" s="23"/>
      <c r="CX41" s="23"/>
      <c r="CY41" s="23"/>
      <c r="CZ41" s="23"/>
      <c r="DA41" s="23"/>
      <c r="DB41" s="23"/>
      <c r="DC41" s="23"/>
      <c r="DD41" s="23"/>
      <c r="DE41" s="27"/>
    </row>
    <row r="42" spans="5:109" s="15" customFormat="1">
      <c r="E42" s="7"/>
      <c r="F42" s="26" t="s">
        <v>144</v>
      </c>
      <c r="G42" s="7"/>
      <c r="H42" s="7"/>
      <c r="I42" s="7"/>
      <c r="J42" s="7"/>
      <c r="K42" s="7"/>
      <c r="L42" s="7"/>
      <c r="M42" s="7"/>
      <c r="N42" s="7"/>
      <c r="O42" s="7"/>
      <c r="P42" s="7"/>
      <c r="Q42" s="16"/>
      <c r="R42" s="16"/>
      <c r="S42" s="17"/>
      <c r="T42" s="17"/>
      <c r="U42" s="18"/>
      <c r="V42" s="18"/>
      <c r="W42" s="18"/>
      <c r="X42" s="25"/>
      <c r="Y42" s="18"/>
      <c r="Z42" s="18"/>
      <c r="AA42" s="18"/>
      <c r="AB42" s="18"/>
      <c r="AC42" s="18"/>
      <c r="AD42" s="18"/>
      <c r="AE42" s="25"/>
      <c r="AF42" s="18"/>
      <c r="AG42" s="18"/>
      <c r="AH42" s="18"/>
      <c r="AI42" s="18"/>
      <c r="AJ42" s="18"/>
      <c r="AK42" s="18">
        <v>100</v>
      </c>
      <c r="AL42" s="25">
        <v>100</v>
      </c>
      <c r="AM42" s="18"/>
      <c r="AN42" s="18"/>
      <c r="AO42" s="18"/>
      <c r="AP42" s="18"/>
      <c r="AQ42" s="18"/>
      <c r="AR42" s="18">
        <v>100</v>
      </c>
      <c r="AS42" s="25">
        <v>100</v>
      </c>
      <c r="AT42" s="18"/>
      <c r="AU42" s="18"/>
      <c r="AV42" s="18"/>
      <c r="AW42" s="18"/>
      <c r="AX42" s="18"/>
      <c r="AY42" s="18">
        <v>100</v>
      </c>
      <c r="AZ42" s="25">
        <v>100</v>
      </c>
      <c r="BA42" s="18"/>
      <c r="BB42" s="18"/>
      <c r="BC42" s="18"/>
      <c r="BD42" s="18"/>
      <c r="BE42" s="18"/>
      <c r="BF42" s="18">
        <v>100</v>
      </c>
      <c r="BG42" s="25">
        <v>100</v>
      </c>
      <c r="BH42" s="18"/>
      <c r="BI42" s="18"/>
      <c r="BJ42" s="18"/>
      <c r="BK42" s="18"/>
      <c r="BL42" s="18"/>
      <c r="BM42" s="18">
        <v>100</v>
      </c>
      <c r="BN42" s="25">
        <v>100</v>
      </c>
      <c r="BO42" s="18"/>
      <c r="BP42" s="18"/>
      <c r="BQ42" s="18"/>
      <c r="BR42" s="18">
        <v>100</v>
      </c>
      <c r="BS42" s="25">
        <v>100</v>
      </c>
      <c r="BT42" s="18"/>
      <c r="BU42" s="18"/>
      <c r="BV42" s="18"/>
      <c r="BW42" s="18">
        <v>100</v>
      </c>
      <c r="BX42" s="25">
        <v>100</v>
      </c>
      <c r="BY42" s="18"/>
      <c r="BZ42" s="18"/>
      <c r="CA42" s="18"/>
      <c r="CB42" s="18">
        <v>100</v>
      </c>
      <c r="CC42" s="25">
        <v>100</v>
      </c>
      <c r="CD42" s="18"/>
      <c r="CE42" s="18"/>
      <c r="CF42" s="18"/>
      <c r="CG42" s="18">
        <v>100</v>
      </c>
      <c r="CH42" s="25">
        <v>100</v>
      </c>
      <c r="CI42" s="18"/>
      <c r="CJ42" s="18"/>
      <c r="CK42" s="18"/>
      <c r="CL42" s="18">
        <v>100</v>
      </c>
      <c r="CM42" s="25">
        <v>100</v>
      </c>
      <c r="CN42" s="18"/>
      <c r="CO42" s="18"/>
      <c r="CP42" s="18"/>
      <c r="CQ42" s="18"/>
      <c r="CR42" s="19"/>
      <c r="CS42" s="18"/>
      <c r="CT42" s="18"/>
      <c r="CU42" s="18"/>
      <c r="CV42" s="18"/>
      <c r="CW42" s="18"/>
      <c r="CX42" s="18"/>
      <c r="CY42" s="18"/>
      <c r="CZ42" s="18"/>
      <c r="DA42" s="18"/>
      <c r="DB42" s="18"/>
      <c r="DC42" s="18"/>
      <c r="DD42" s="18"/>
      <c r="DE42" s="25"/>
    </row>
    <row r="43" spans="5:109" s="20" customFormat="1">
      <c r="E43" s="5"/>
      <c r="F43" s="5" t="s">
        <v>145</v>
      </c>
      <c r="G43" s="5"/>
      <c r="H43" s="5"/>
      <c r="I43" s="5" t="s">
        <v>146</v>
      </c>
      <c r="J43" s="5"/>
      <c r="K43" s="5"/>
      <c r="L43" s="5"/>
      <c r="M43" s="5"/>
      <c r="N43" s="5"/>
      <c r="O43" s="5"/>
      <c r="P43" s="5"/>
      <c r="Q43" s="21"/>
      <c r="R43" s="21"/>
      <c r="S43" s="22"/>
      <c r="T43" s="22"/>
      <c r="U43" s="23"/>
      <c r="V43" s="23"/>
      <c r="W43" s="23"/>
      <c r="X43" s="27"/>
      <c r="Y43" s="23"/>
      <c r="Z43" s="23"/>
      <c r="AA43" s="23"/>
      <c r="AB43" s="23"/>
      <c r="AC43" s="23"/>
      <c r="AD43" s="23"/>
      <c r="AE43" s="27"/>
      <c r="AF43" s="23"/>
      <c r="AG43" s="23"/>
      <c r="AH43" s="23"/>
      <c r="AI43" s="23"/>
      <c r="AJ43" s="23"/>
      <c r="AK43" s="23"/>
      <c r="AL43" s="27"/>
      <c r="AM43" s="23"/>
      <c r="AN43" s="23"/>
      <c r="AO43" s="23"/>
      <c r="AP43" s="23"/>
      <c r="AQ43" s="23"/>
      <c r="AR43" s="23"/>
      <c r="AS43" s="27"/>
      <c r="AT43" s="23"/>
      <c r="AU43" s="23"/>
      <c r="AV43" s="23"/>
      <c r="AW43" s="23"/>
      <c r="AX43" s="23"/>
      <c r="AY43" s="23"/>
      <c r="AZ43" s="27"/>
      <c r="BA43" s="23"/>
      <c r="BB43" s="23"/>
      <c r="BC43" s="23"/>
      <c r="BD43" s="23"/>
      <c r="BE43" s="23"/>
      <c r="BF43" s="23"/>
      <c r="BG43" s="27"/>
      <c r="BH43" s="23"/>
      <c r="BI43" s="23"/>
      <c r="BJ43" s="23"/>
      <c r="BK43" s="23"/>
      <c r="BL43" s="23"/>
      <c r="BM43" s="23"/>
      <c r="BN43" s="27"/>
      <c r="BO43" s="23"/>
      <c r="BP43" s="23"/>
      <c r="BQ43" s="23"/>
      <c r="BR43" s="23"/>
      <c r="BS43" s="27"/>
      <c r="BT43" s="23"/>
      <c r="BU43" s="23"/>
      <c r="BV43" s="23"/>
      <c r="BW43" s="23"/>
      <c r="BX43" s="27"/>
      <c r="BY43" s="23"/>
      <c r="BZ43" s="23"/>
      <c r="CA43" s="23"/>
      <c r="CB43" s="23"/>
      <c r="CC43" s="27"/>
      <c r="CD43" s="23"/>
      <c r="CE43" s="23"/>
      <c r="CF43" s="23"/>
      <c r="CG43" s="23"/>
      <c r="CH43" s="27"/>
      <c r="CI43" s="23"/>
      <c r="CJ43" s="23"/>
      <c r="CK43" s="23"/>
      <c r="CL43" s="23"/>
      <c r="CM43" s="27"/>
      <c r="CN43" s="23"/>
      <c r="CO43" s="23"/>
      <c r="CP43" s="23"/>
      <c r="CQ43" s="23"/>
      <c r="CR43" s="24"/>
      <c r="CS43" s="23"/>
      <c r="CT43" s="23"/>
      <c r="CU43" s="23"/>
      <c r="CV43" s="23"/>
      <c r="CW43" s="23"/>
      <c r="CX43" s="23"/>
      <c r="CY43" s="23"/>
      <c r="CZ43" s="23"/>
      <c r="DA43" s="23"/>
      <c r="DB43" s="23"/>
      <c r="DC43" s="23"/>
      <c r="DD43" s="23"/>
      <c r="DE43" s="27"/>
    </row>
    <row r="44" spans="5:109" s="15" customFormat="1">
      <c r="E44" s="7"/>
      <c r="F44" s="7" t="s">
        <v>147</v>
      </c>
      <c r="G44" s="7"/>
      <c r="H44" s="7"/>
      <c r="I44" s="7" t="s">
        <v>148</v>
      </c>
      <c r="J44" s="7"/>
      <c r="K44" s="7"/>
      <c r="L44" s="7"/>
      <c r="M44" s="7"/>
      <c r="N44" s="7"/>
      <c r="O44" s="7"/>
      <c r="P44" s="7"/>
      <c r="Q44" s="16"/>
      <c r="R44" s="16"/>
      <c r="S44" s="17"/>
      <c r="T44" s="17"/>
      <c r="U44" s="18"/>
      <c r="V44" s="18"/>
      <c r="W44" s="18"/>
      <c r="X44" s="25"/>
      <c r="Y44" s="18"/>
      <c r="Z44" s="18"/>
      <c r="AA44" s="18"/>
      <c r="AB44" s="18"/>
      <c r="AC44" s="18"/>
      <c r="AD44" s="18"/>
      <c r="AE44" s="25"/>
      <c r="AF44" s="18"/>
      <c r="AG44" s="18"/>
      <c r="AH44" s="18"/>
      <c r="AI44" s="18"/>
      <c r="AJ44" s="18"/>
      <c r="AK44" s="18"/>
      <c r="AL44" s="25"/>
      <c r="AM44" s="18"/>
      <c r="AN44" s="18"/>
      <c r="AO44" s="18"/>
      <c r="AP44" s="18"/>
      <c r="AQ44" s="18"/>
      <c r="AR44" s="18"/>
      <c r="AS44" s="25"/>
      <c r="AT44" s="18"/>
      <c r="AU44" s="18"/>
      <c r="AV44" s="18"/>
      <c r="AW44" s="18"/>
      <c r="AX44" s="18"/>
      <c r="AY44" s="18"/>
      <c r="AZ44" s="25"/>
      <c r="BA44" s="18"/>
      <c r="BB44" s="18"/>
      <c r="BC44" s="18"/>
      <c r="BD44" s="18"/>
      <c r="BE44" s="18"/>
      <c r="BF44" s="18"/>
      <c r="BG44" s="25"/>
      <c r="BH44" s="18"/>
      <c r="BI44" s="18"/>
      <c r="BJ44" s="18"/>
      <c r="BK44" s="18"/>
      <c r="BL44" s="18"/>
      <c r="BM44" s="18"/>
      <c r="BN44" s="25"/>
      <c r="BO44" s="18"/>
      <c r="BP44" s="18"/>
      <c r="BQ44" s="18"/>
      <c r="BR44" s="18"/>
      <c r="BS44" s="25"/>
      <c r="BT44" s="18"/>
      <c r="BU44" s="18"/>
      <c r="BV44" s="18"/>
      <c r="BW44" s="18"/>
      <c r="BX44" s="25"/>
      <c r="BY44" s="18"/>
      <c r="BZ44" s="18"/>
      <c r="CA44" s="18"/>
      <c r="CB44" s="18"/>
      <c r="CC44" s="25"/>
      <c r="CD44" s="18"/>
      <c r="CE44" s="18"/>
      <c r="CF44" s="18"/>
      <c r="CG44" s="18"/>
      <c r="CH44" s="25"/>
      <c r="CI44" s="18"/>
      <c r="CJ44" s="18"/>
      <c r="CK44" s="18"/>
      <c r="CL44" s="18"/>
      <c r="CM44" s="25"/>
      <c r="CN44" s="18"/>
      <c r="CO44" s="18"/>
      <c r="CP44" s="18"/>
      <c r="CQ44" s="18"/>
      <c r="CR44" s="19"/>
      <c r="CS44" s="18"/>
      <c r="CT44" s="18"/>
      <c r="CU44" s="18"/>
      <c r="CV44" s="18"/>
      <c r="CW44" s="18"/>
      <c r="CX44" s="18"/>
      <c r="CY44" s="18"/>
      <c r="CZ44" s="18"/>
      <c r="DA44" s="18"/>
      <c r="DB44" s="18"/>
      <c r="DC44" s="18"/>
      <c r="DD44" s="18"/>
      <c r="DE44" s="25"/>
    </row>
    <row r="45" spans="5:109" s="20" customFormat="1">
      <c r="E45" s="5"/>
      <c r="F45" s="5" t="s">
        <v>149</v>
      </c>
      <c r="G45" s="5"/>
      <c r="H45" s="5"/>
      <c r="I45" s="5" t="s">
        <v>146</v>
      </c>
      <c r="J45" s="5"/>
      <c r="K45" s="5"/>
      <c r="L45" s="5"/>
      <c r="M45" s="5"/>
      <c r="N45" s="5"/>
      <c r="O45" s="5"/>
      <c r="P45" s="5"/>
      <c r="Q45" s="21"/>
      <c r="R45" s="21"/>
      <c r="S45" s="22"/>
      <c r="T45" s="22"/>
      <c r="U45" s="23"/>
      <c r="V45" s="23"/>
      <c r="W45" s="23"/>
      <c r="X45" s="27"/>
      <c r="Y45" s="23"/>
      <c r="Z45" s="23"/>
      <c r="AA45" s="23"/>
      <c r="AB45" s="23"/>
      <c r="AC45" s="23"/>
      <c r="AD45" s="23"/>
      <c r="AE45" s="27"/>
      <c r="AF45" s="23"/>
      <c r="AG45" s="23"/>
      <c r="AH45" s="23"/>
      <c r="AI45" s="23"/>
      <c r="AJ45" s="23"/>
      <c r="AK45" s="23"/>
      <c r="AL45" s="27"/>
      <c r="AM45" s="23"/>
      <c r="AN45" s="23"/>
      <c r="AO45" s="23"/>
      <c r="AP45" s="23"/>
      <c r="AQ45" s="23"/>
      <c r="AR45" s="23"/>
      <c r="AS45" s="27"/>
      <c r="AT45" s="23"/>
      <c r="AU45" s="23"/>
      <c r="AV45" s="23"/>
      <c r="AW45" s="23"/>
      <c r="AX45" s="23"/>
      <c r="AY45" s="23"/>
      <c r="AZ45" s="27"/>
      <c r="BA45" s="23"/>
      <c r="BB45" s="23"/>
      <c r="BC45" s="23"/>
      <c r="BD45" s="23"/>
      <c r="BE45" s="23"/>
      <c r="BF45" s="23"/>
      <c r="BG45" s="27"/>
      <c r="BH45" s="23"/>
      <c r="BI45" s="23"/>
      <c r="BJ45" s="23"/>
      <c r="BK45" s="23"/>
      <c r="BL45" s="23"/>
      <c r="BM45" s="23"/>
      <c r="BN45" s="27"/>
      <c r="BO45" s="23"/>
      <c r="BP45" s="23"/>
      <c r="BQ45" s="23"/>
      <c r="BR45" s="23"/>
      <c r="BS45" s="27"/>
      <c r="BT45" s="23"/>
      <c r="BU45" s="23"/>
      <c r="BV45" s="23"/>
      <c r="BW45" s="23"/>
      <c r="BX45" s="27"/>
      <c r="BY45" s="23"/>
      <c r="BZ45" s="23"/>
      <c r="CA45" s="23"/>
      <c r="CB45" s="23"/>
      <c r="CC45" s="27"/>
      <c r="CD45" s="23"/>
      <c r="CE45" s="23"/>
      <c r="CF45" s="23"/>
      <c r="CG45" s="23"/>
      <c r="CH45" s="27"/>
      <c r="CI45" s="23"/>
      <c r="CJ45" s="23"/>
      <c r="CK45" s="23"/>
      <c r="CL45" s="23"/>
      <c r="CM45" s="27"/>
      <c r="CN45" s="23"/>
      <c r="CO45" s="23"/>
      <c r="CP45" s="23"/>
      <c r="CQ45" s="23"/>
      <c r="CR45" s="24"/>
      <c r="CS45" s="23"/>
      <c r="CT45" s="23"/>
      <c r="CU45" s="23"/>
      <c r="CV45" s="23"/>
      <c r="CW45" s="23"/>
      <c r="CX45" s="23"/>
      <c r="CY45" s="23"/>
      <c r="CZ45" s="23"/>
      <c r="DA45" s="23"/>
      <c r="DB45" s="23"/>
      <c r="DC45" s="23"/>
      <c r="DD45" s="23"/>
      <c r="DE45" s="27"/>
    </row>
    <row r="46" spans="5:109" s="15" customFormat="1">
      <c r="E46" s="7"/>
      <c r="F46" s="7" t="s">
        <v>150</v>
      </c>
      <c r="G46" s="7"/>
      <c r="H46" s="7"/>
      <c r="I46" s="7" t="s">
        <v>148</v>
      </c>
      <c r="J46" s="7"/>
      <c r="K46" s="7"/>
      <c r="L46" s="7"/>
      <c r="M46" s="7"/>
      <c r="N46" s="7"/>
      <c r="O46" s="7"/>
      <c r="P46" s="7"/>
      <c r="Q46" s="16"/>
      <c r="R46" s="16"/>
      <c r="S46" s="17"/>
      <c r="T46" s="17"/>
      <c r="U46" s="18"/>
      <c r="V46" s="18"/>
      <c r="W46" s="18"/>
      <c r="X46" s="25"/>
      <c r="Y46" s="18"/>
      <c r="Z46" s="18"/>
      <c r="AA46" s="18"/>
      <c r="AB46" s="18"/>
      <c r="AC46" s="18"/>
      <c r="AD46" s="18"/>
      <c r="AE46" s="25"/>
      <c r="AF46" s="18"/>
      <c r="AG46" s="18"/>
      <c r="AH46" s="18"/>
      <c r="AI46" s="18"/>
      <c r="AJ46" s="18"/>
      <c r="AK46" s="18"/>
      <c r="AL46" s="25"/>
      <c r="AM46" s="18"/>
      <c r="AN46" s="18"/>
      <c r="AO46" s="18"/>
      <c r="AP46" s="18"/>
      <c r="AQ46" s="18"/>
      <c r="AR46" s="18"/>
      <c r="AS46" s="25"/>
      <c r="AT46" s="18"/>
      <c r="AU46" s="18"/>
      <c r="AV46" s="18"/>
      <c r="AW46" s="18"/>
      <c r="AX46" s="18"/>
      <c r="AY46" s="18"/>
      <c r="AZ46" s="25"/>
      <c r="BA46" s="18"/>
      <c r="BB46" s="18"/>
      <c r="BC46" s="18"/>
      <c r="BD46" s="18"/>
      <c r="BE46" s="18"/>
      <c r="BF46" s="18"/>
      <c r="BG46" s="25"/>
      <c r="BH46" s="18"/>
      <c r="BI46" s="18"/>
      <c r="BJ46" s="18"/>
      <c r="BK46" s="18"/>
      <c r="BL46" s="18"/>
      <c r="BM46" s="18"/>
      <c r="BN46" s="25"/>
      <c r="BO46" s="18"/>
      <c r="BP46" s="18"/>
      <c r="BQ46" s="18"/>
      <c r="BR46" s="18"/>
      <c r="BS46" s="25"/>
      <c r="BT46" s="18"/>
      <c r="BU46" s="18"/>
      <c r="BV46" s="18"/>
      <c r="BW46" s="18"/>
      <c r="BX46" s="25"/>
      <c r="BY46" s="18"/>
      <c r="BZ46" s="18"/>
      <c r="CA46" s="18"/>
      <c r="CB46" s="18"/>
      <c r="CC46" s="25"/>
      <c r="CD46" s="18"/>
      <c r="CE46" s="18"/>
      <c r="CF46" s="18"/>
      <c r="CG46" s="18"/>
      <c r="CH46" s="25"/>
      <c r="CI46" s="18"/>
      <c r="CJ46" s="18"/>
      <c r="CK46" s="18"/>
      <c r="CL46" s="18"/>
      <c r="CM46" s="25"/>
      <c r="CN46" s="18"/>
      <c r="CO46" s="18"/>
      <c r="CP46" s="18"/>
      <c r="CQ46" s="18"/>
      <c r="CR46" s="19"/>
      <c r="CS46" s="18"/>
      <c r="CT46" s="18"/>
      <c r="CU46" s="18"/>
      <c r="CV46" s="18"/>
      <c r="CW46" s="18"/>
      <c r="CX46" s="18"/>
      <c r="CY46" s="18"/>
      <c r="CZ46" s="18"/>
      <c r="DA46" s="18"/>
      <c r="DB46" s="18"/>
      <c r="DC46" s="18"/>
      <c r="DD46" s="18"/>
      <c r="DE46" s="25"/>
    </row>
    <row r="47" spans="5:109" s="20" customFormat="1">
      <c r="E47" s="5"/>
      <c r="F47" s="5" t="s">
        <v>151</v>
      </c>
      <c r="G47" s="5"/>
      <c r="H47" s="5"/>
      <c r="I47" s="5" t="s">
        <v>152</v>
      </c>
      <c r="J47" s="5"/>
      <c r="K47" s="5"/>
      <c r="L47" s="5"/>
      <c r="M47" s="5"/>
      <c r="N47" s="5"/>
      <c r="O47" s="5"/>
      <c r="P47" s="5"/>
      <c r="Q47" s="21"/>
      <c r="R47" s="21"/>
      <c r="S47" s="22"/>
      <c r="T47" s="22"/>
      <c r="U47" s="23"/>
      <c r="V47" s="23"/>
      <c r="W47" s="23"/>
      <c r="X47" s="27"/>
      <c r="Y47" s="23"/>
      <c r="Z47" s="23"/>
      <c r="AA47" s="23"/>
      <c r="AB47" s="23"/>
      <c r="AC47" s="23"/>
      <c r="AD47" s="23"/>
      <c r="AE47" s="27"/>
      <c r="AF47" s="23"/>
      <c r="AG47" s="23"/>
      <c r="AH47" s="23"/>
      <c r="AI47" s="23"/>
      <c r="AJ47" s="23"/>
      <c r="AK47" s="23"/>
      <c r="AL47" s="27"/>
      <c r="AM47" s="23"/>
      <c r="AN47" s="23"/>
      <c r="AO47" s="23"/>
      <c r="AP47" s="23"/>
      <c r="AQ47" s="23"/>
      <c r="AR47" s="23"/>
      <c r="AS47" s="27"/>
      <c r="AT47" s="23"/>
      <c r="AU47" s="23"/>
      <c r="AV47" s="23"/>
      <c r="AW47" s="23"/>
      <c r="AX47" s="23"/>
      <c r="AY47" s="23"/>
      <c r="AZ47" s="27"/>
      <c r="BA47" s="23"/>
      <c r="BB47" s="23"/>
      <c r="BC47" s="23"/>
      <c r="BD47" s="23"/>
      <c r="BE47" s="23"/>
      <c r="BF47" s="23"/>
      <c r="BG47" s="27"/>
      <c r="BH47" s="23"/>
      <c r="BI47" s="23"/>
      <c r="BJ47" s="23"/>
      <c r="BK47" s="23"/>
      <c r="BL47" s="23"/>
      <c r="BM47" s="23"/>
      <c r="BN47" s="27"/>
      <c r="BO47" s="23"/>
      <c r="BP47" s="23"/>
      <c r="BQ47" s="23"/>
      <c r="BR47" s="23"/>
      <c r="BS47" s="27"/>
      <c r="BT47" s="23"/>
      <c r="BU47" s="23"/>
      <c r="BV47" s="23"/>
      <c r="BW47" s="23"/>
      <c r="BX47" s="27"/>
      <c r="BY47" s="23"/>
      <c r="BZ47" s="23"/>
      <c r="CA47" s="23"/>
      <c r="CB47" s="23"/>
      <c r="CC47" s="27"/>
      <c r="CD47" s="23"/>
      <c r="CE47" s="23"/>
      <c r="CF47" s="23"/>
      <c r="CG47" s="23"/>
      <c r="CH47" s="27"/>
      <c r="CI47" s="23"/>
      <c r="CJ47" s="23"/>
      <c r="CK47" s="23"/>
      <c r="CL47" s="23"/>
      <c r="CM47" s="27"/>
      <c r="CN47" s="23"/>
      <c r="CO47" s="23"/>
      <c r="CP47" s="23"/>
      <c r="CQ47" s="23"/>
      <c r="CR47" s="24"/>
      <c r="CS47" s="23"/>
      <c r="CT47" s="23"/>
      <c r="CU47" s="23"/>
      <c r="CV47" s="23"/>
      <c r="CW47" s="23"/>
      <c r="CX47" s="23"/>
      <c r="CY47" s="23"/>
      <c r="CZ47" s="23"/>
      <c r="DA47" s="23"/>
      <c r="DB47" s="23"/>
      <c r="DC47" s="23"/>
      <c r="DD47" s="23"/>
      <c r="DE47" s="27"/>
    </row>
    <row r="48" spans="5:109" s="15" customFormat="1">
      <c r="E48" s="7"/>
      <c r="F48" s="7" t="s">
        <v>153</v>
      </c>
      <c r="G48" s="7"/>
      <c r="H48" s="7"/>
      <c r="I48" s="7" t="s">
        <v>154</v>
      </c>
      <c r="J48" s="7" t="s">
        <v>155</v>
      </c>
      <c r="K48" s="7"/>
      <c r="L48" s="7"/>
      <c r="M48" s="7"/>
      <c r="N48" s="7"/>
      <c r="O48" s="7"/>
      <c r="P48" s="7"/>
      <c r="Q48" s="16"/>
      <c r="R48" s="16"/>
      <c r="S48" s="17"/>
      <c r="T48" s="17"/>
      <c r="U48" s="18"/>
      <c r="V48" s="18"/>
      <c r="W48" s="18"/>
      <c r="X48" s="25"/>
      <c r="Y48" s="18"/>
      <c r="Z48" s="18"/>
      <c r="AA48" s="18"/>
      <c r="AB48" s="18"/>
      <c r="AC48" s="18"/>
      <c r="AD48" s="18"/>
      <c r="AE48" s="25"/>
      <c r="AF48" s="18"/>
      <c r="AG48" s="18"/>
      <c r="AH48" s="18"/>
      <c r="AI48" s="18"/>
      <c r="AJ48" s="18"/>
      <c r="AK48" s="18"/>
      <c r="AL48" s="25"/>
      <c r="AM48" s="18"/>
      <c r="AN48" s="18"/>
      <c r="AO48" s="18"/>
      <c r="AP48" s="18"/>
      <c r="AQ48" s="18"/>
      <c r="AR48" s="18"/>
      <c r="AS48" s="25"/>
      <c r="AT48" s="18"/>
      <c r="AU48" s="18"/>
      <c r="AV48" s="18"/>
      <c r="AW48" s="18"/>
      <c r="AX48" s="18"/>
      <c r="AY48" s="18"/>
      <c r="AZ48" s="25"/>
      <c r="BA48" s="18"/>
      <c r="BB48" s="18"/>
      <c r="BC48" s="18"/>
      <c r="BD48" s="18"/>
      <c r="BE48" s="18"/>
      <c r="BF48" s="18"/>
      <c r="BG48" s="25"/>
      <c r="BH48" s="18"/>
      <c r="BI48" s="18"/>
      <c r="BJ48" s="18"/>
      <c r="BK48" s="18"/>
      <c r="BL48" s="18"/>
      <c r="BM48" s="18"/>
      <c r="BN48" s="25"/>
      <c r="BO48" s="18"/>
      <c r="BP48" s="18"/>
      <c r="BQ48" s="18"/>
      <c r="BR48" s="18"/>
      <c r="BS48" s="25"/>
      <c r="BT48" s="18"/>
      <c r="BU48" s="18"/>
      <c r="BV48" s="18"/>
      <c r="BW48" s="18"/>
      <c r="BX48" s="25"/>
      <c r="BY48" s="18"/>
      <c r="BZ48" s="18"/>
      <c r="CA48" s="18"/>
      <c r="CB48" s="18"/>
      <c r="CC48" s="25"/>
      <c r="CD48" s="18"/>
      <c r="CE48" s="18"/>
      <c r="CF48" s="18"/>
      <c r="CG48" s="18"/>
      <c r="CH48" s="25"/>
      <c r="CI48" s="18"/>
      <c r="CJ48" s="18"/>
      <c r="CK48" s="18"/>
      <c r="CL48" s="18"/>
      <c r="CM48" s="25"/>
      <c r="CN48" s="18"/>
      <c r="CO48" s="18"/>
      <c r="CP48" s="18"/>
      <c r="CQ48" s="18"/>
      <c r="CR48" s="19"/>
      <c r="CS48" s="18"/>
      <c r="CT48" s="18"/>
      <c r="CU48" s="18"/>
      <c r="CV48" s="18"/>
      <c r="CW48" s="18"/>
      <c r="CX48" s="18"/>
      <c r="CY48" s="18"/>
      <c r="CZ48" s="18"/>
      <c r="DA48" s="18"/>
      <c r="DB48" s="18"/>
      <c r="DC48" s="18"/>
      <c r="DD48" s="18"/>
      <c r="DE48" s="25"/>
    </row>
  </sheetData>
  <mergeCells count="3">
    <mergeCell ref="A1:B1"/>
    <mergeCell ref="C2:BE2"/>
    <mergeCell ref="A2:B2"/>
  </mergeCells>
  <phoneticPr fontId="25" type="noConversion"/>
  <pageMargins left="0.75" right="0.75" top="1" bottom="1" header="0.5" footer="0.5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stcentersplit_Click">
                <anchor moveWithCells="1" sizeWithCells="1">
                  <from>
                    <xdr:col>0</xdr:col>
                    <xdr:colOff>165100</xdr:colOff>
                    <xdr:row>0</xdr:row>
                    <xdr:rowOff>133350</xdr:rowOff>
                  </from>
                  <to>
                    <xdr:col>1</xdr:col>
                    <xdr:colOff>577850</xdr:colOff>
                    <xdr:row>0</xdr:row>
                    <xdr:rowOff>469900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A5C731-41AD-4595-BDAD-9F3E7368FF51}">
  <sheetPr codeName="Sheet5"/>
  <dimension ref="A1:DC37"/>
  <sheetViews>
    <sheetView tabSelected="1" workbookViewId="0">
      <selection activeCell="A51" sqref="A51:BD51"/>
    </sheetView>
  </sheetViews>
  <sheetFormatPr defaultRowHeight="14"/>
  <sheetData>
    <row r="1" spans="1:107">
      <c r="A1" s="29" t="s">
        <v>131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N1" s="29"/>
      <c r="AO1" s="29"/>
      <c r="AP1" s="29"/>
      <c r="AQ1" s="29"/>
      <c r="AR1" s="29"/>
      <c r="AS1" s="29"/>
      <c r="AT1" s="29"/>
      <c r="AU1" s="29"/>
      <c r="AV1" s="29"/>
      <c r="AW1" s="29"/>
      <c r="AX1" s="29"/>
      <c r="AY1" s="29"/>
      <c r="AZ1" s="29"/>
      <c r="BA1" s="29"/>
      <c r="BB1" s="29"/>
      <c r="BC1" s="29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</row>
    <row r="2" spans="1:107">
      <c r="A2" s="2" t="s">
        <v>1</v>
      </c>
      <c r="B2" s="2" t="s">
        <v>2</v>
      </c>
      <c r="C2" s="2" t="s">
        <v>3</v>
      </c>
      <c r="D2" s="2" t="s">
        <v>4</v>
      </c>
      <c r="E2" s="2" t="s">
        <v>5</v>
      </c>
      <c r="F2" s="2" t="s">
        <v>6</v>
      </c>
      <c r="G2" s="2" t="s">
        <v>7</v>
      </c>
      <c r="H2" s="2" t="s">
        <v>8</v>
      </c>
      <c r="I2" s="2" t="s">
        <v>9</v>
      </c>
      <c r="J2" s="2" t="s">
        <v>10</v>
      </c>
      <c r="K2" s="2" t="s">
        <v>11</v>
      </c>
      <c r="L2" s="2" t="s">
        <v>12</v>
      </c>
      <c r="M2" s="2" t="s">
        <v>13</v>
      </c>
      <c r="N2" s="2" t="s">
        <v>14</v>
      </c>
      <c r="O2" s="2" t="s">
        <v>15</v>
      </c>
      <c r="P2" s="2" t="s">
        <v>16</v>
      </c>
      <c r="Q2" s="2" t="s">
        <v>17</v>
      </c>
      <c r="R2" s="2" t="s">
        <v>18</v>
      </c>
      <c r="S2" s="2" t="s">
        <v>19</v>
      </c>
      <c r="T2" s="2" t="s">
        <v>20</v>
      </c>
      <c r="U2" s="2" t="s">
        <v>21</v>
      </c>
      <c r="V2" s="2" t="s">
        <v>22</v>
      </c>
      <c r="W2" s="2" t="s">
        <v>23</v>
      </c>
      <c r="X2" s="2" t="s">
        <v>24</v>
      </c>
      <c r="Y2" s="2" t="s">
        <v>25</v>
      </c>
      <c r="Z2" s="2" t="s">
        <v>26</v>
      </c>
      <c r="AA2" s="2" t="s">
        <v>27</v>
      </c>
      <c r="AB2" s="2" t="s">
        <v>28</v>
      </c>
      <c r="AC2" s="2" t="s">
        <v>29</v>
      </c>
      <c r="AD2" s="2" t="s">
        <v>30</v>
      </c>
      <c r="AE2" s="2" t="s">
        <v>31</v>
      </c>
      <c r="AF2" s="2" t="s">
        <v>32</v>
      </c>
      <c r="AG2" s="2" t="s">
        <v>33</v>
      </c>
      <c r="AH2" s="2" t="s">
        <v>34</v>
      </c>
      <c r="AI2" s="2" t="s">
        <v>35</v>
      </c>
      <c r="AJ2" s="2" t="s">
        <v>36</v>
      </c>
      <c r="AK2" s="2" t="s">
        <v>37</v>
      </c>
      <c r="AL2" s="2" t="s">
        <v>38</v>
      </c>
      <c r="AM2" s="2" t="s">
        <v>39</v>
      </c>
      <c r="AN2" s="2" t="s">
        <v>40</v>
      </c>
      <c r="AO2" s="2" t="s">
        <v>41</v>
      </c>
      <c r="AP2" s="2" t="s">
        <v>42</v>
      </c>
      <c r="AQ2" s="2" t="s">
        <v>43</v>
      </c>
      <c r="AR2" s="2" t="s">
        <v>44</v>
      </c>
      <c r="AS2" s="2" t="s">
        <v>45</v>
      </c>
      <c r="AT2" s="2" t="s">
        <v>46</v>
      </c>
      <c r="AU2" s="2" t="s">
        <v>47</v>
      </c>
      <c r="AV2" s="2" t="s">
        <v>48</v>
      </c>
      <c r="AW2" s="2" t="s">
        <v>49</v>
      </c>
      <c r="AX2" s="2" t="s">
        <v>50</v>
      </c>
      <c r="AY2" s="2" t="s">
        <v>51</v>
      </c>
      <c r="AZ2" s="2" t="s">
        <v>52</v>
      </c>
      <c r="BA2" s="2" t="s">
        <v>53</v>
      </c>
      <c r="BB2" s="2" t="s">
        <v>54</v>
      </c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</row>
    <row r="3" spans="1:107">
      <c r="A3" s="5" t="s">
        <v>156</v>
      </c>
      <c r="B3" s="5" t="s">
        <v>56</v>
      </c>
      <c r="C3" s="4" t="s">
        <v>57</v>
      </c>
      <c r="D3" s="4" t="s">
        <v>58</v>
      </c>
      <c r="E3" s="5"/>
      <c r="F3" s="5" t="s">
        <v>59</v>
      </c>
      <c r="G3" s="4" t="s">
        <v>59</v>
      </c>
      <c r="H3" s="4" t="s">
        <v>60</v>
      </c>
      <c r="I3" s="5" t="s">
        <v>59</v>
      </c>
      <c r="J3" s="5" t="s">
        <v>61</v>
      </c>
      <c r="K3" s="4" t="s">
        <v>61</v>
      </c>
      <c r="L3" s="4" t="s">
        <v>61</v>
      </c>
      <c r="M3" s="5"/>
      <c r="N3" s="5" t="s">
        <v>62</v>
      </c>
      <c r="O3" s="4">
        <v>2000</v>
      </c>
      <c r="P3" s="4">
        <v>2000</v>
      </c>
      <c r="Q3" s="5">
        <v>2</v>
      </c>
      <c r="R3" s="5">
        <v>2000</v>
      </c>
      <c r="S3" s="4">
        <v>2000</v>
      </c>
      <c r="T3" s="4">
        <v>2</v>
      </c>
      <c r="U3" s="5">
        <v>2000</v>
      </c>
      <c r="V3" s="5">
        <v>2000</v>
      </c>
      <c r="W3" s="4">
        <v>2</v>
      </c>
      <c r="X3" s="4">
        <v>2000</v>
      </c>
      <c r="Y3" s="5">
        <v>2000</v>
      </c>
      <c r="Z3" s="5">
        <v>2</v>
      </c>
      <c r="AA3" s="4">
        <v>2000</v>
      </c>
      <c r="AB3" s="4">
        <v>2000</v>
      </c>
      <c r="AC3" s="5">
        <v>2</v>
      </c>
      <c r="AD3" s="5">
        <v>2000</v>
      </c>
      <c r="AE3" s="4">
        <v>2000</v>
      </c>
      <c r="AF3" s="4">
        <v>2</v>
      </c>
      <c r="AG3" s="5">
        <v>2000</v>
      </c>
      <c r="AH3" s="5">
        <v>2000</v>
      </c>
      <c r="AI3" s="4">
        <v>2</v>
      </c>
      <c r="AJ3" s="4">
        <v>2000</v>
      </c>
      <c r="AK3" s="5">
        <v>2000</v>
      </c>
      <c r="AL3" s="5">
        <v>2</v>
      </c>
      <c r="AM3" s="4">
        <v>2000</v>
      </c>
      <c r="AN3" s="4">
        <v>2000</v>
      </c>
      <c r="AO3" s="5">
        <v>2</v>
      </c>
      <c r="AP3" s="5">
        <v>2000</v>
      </c>
      <c r="AQ3" s="4">
        <v>2000</v>
      </c>
      <c r="AR3" s="4">
        <v>2</v>
      </c>
      <c r="AS3" s="5">
        <v>2000</v>
      </c>
      <c r="AT3" s="5">
        <v>2000</v>
      </c>
      <c r="AU3" s="4">
        <v>2</v>
      </c>
      <c r="AV3" s="4">
        <v>2000</v>
      </c>
      <c r="AW3" s="5">
        <v>2000</v>
      </c>
      <c r="AX3" s="5">
        <v>2</v>
      </c>
      <c r="AY3" s="4">
        <v>0</v>
      </c>
      <c r="AZ3" s="4">
        <v>24000</v>
      </c>
      <c r="BA3" s="5">
        <v>24000</v>
      </c>
      <c r="BB3" s="5">
        <v>2</v>
      </c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</row>
    <row r="4" spans="1:107">
      <c r="A4" s="5" t="s">
        <v>156</v>
      </c>
      <c r="B4" s="5" t="s">
        <v>56</v>
      </c>
      <c r="C4" s="4" t="s">
        <v>70</v>
      </c>
      <c r="D4" s="4" t="s">
        <v>71</v>
      </c>
      <c r="E4" s="5"/>
      <c r="F4" s="5">
        <v>375953</v>
      </c>
      <c r="G4" s="4">
        <v>5841813202</v>
      </c>
      <c r="H4" s="4" t="s">
        <v>60</v>
      </c>
      <c r="I4" s="5" t="s">
        <v>72</v>
      </c>
      <c r="J4" s="5" t="s">
        <v>73</v>
      </c>
      <c r="K4" s="4" t="s">
        <v>67</v>
      </c>
      <c r="L4" s="4" t="s">
        <v>74</v>
      </c>
      <c r="M4" s="5"/>
      <c r="N4" s="5" t="s">
        <v>69</v>
      </c>
      <c r="O4" s="4">
        <v>4000</v>
      </c>
      <c r="P4" s="4">
        <v>4000</v>
      </c>
      <c r="Q4" s="5">
        <v>4</v>
      </c>
      <c r="R4" s="5">
        <v>4000</v>
      </c>
      <c r="S4" s="4">
        <v>4000</v>
      </c>
      <c r="T4" s="4">
        <v>4</v>
      </c>
      <c r="U4" s="5">
        <v>4000</v>
      </c>
      <c r="V4" s="5">
        <v>4000</v>
      </c>
      <c r="W4" s="4">
        <v>4</v>
      </c>
      <c r="X4" s="4">
        <v>4000</v>
      </c>
      <c r="Y4" s="5">
        <v>4000</v>
      </c>
      <c r="Z4" s="5">
        <v>4</v>
      </c>
      <c r="AA4" s="4">
        <v>4000</v>
      </c>
      <c r="AB4" s="4">
        <v>4000</v>
      </c>
      <c r="AC4" s="5">
        <v>4</v>
      </c>
      <c r="AD4" s="5">
        <v>4000</v>
      </c>
      <c r="AE4" s="4">
        <v>4000</v>
      </c>
      <c r="AF4" s="4">
        <v>4</v>
      </c>
      <c r="AG4" s="5">
        <v>4000</v>
      </c>
      <c r="AH4" s="5">
        <v>4000</v>
      </c>
      <c r="AI4" s="4">
        <v>4</v>
      </c>
      <c r="AJ4" s="4">
        <v>4000</v>
      </c>
      <c r="AK4" s="5">
        <v>4000</v>
      </c>
      <c r="AL4" s="5">
        <v>4</v>
      </c>
      <c r="AM4" s="4">
        <v>4000</v>
      </c>
      <c r="AN4" s="4">
        <v>4000</v>
      </c>
      <c r="AO4" s="5">
        <v>4</v>
      </c>
      <c r="AP4" s="5">
        <v>4000</v>
      </c>
      <c r="AQ4" s="4">
        <v>4000</v>
      </c>
      <c r="AR4" s="4">
        <v>4</v>
      </c>
      <c r="AS4" s="5">
        <v>4000</v>
      </c>
      <c r="AT4" s="5">
        <v>4000</v>
      </c>
      <c r="AU4" s="4">
        <v>4</v>
      </c>
      <c r="AV4" s="4">
        <v>4000</v>
      </c>
      <c r="AW4" s="5">
        <v>4000</v>
      </c>
      <c r="AX4" s="5">
        <v>4</v>
      </c>
      <c r="AY4" s="4">
        <v>0</v>
      </c>
      <c r="AZ4" s="4">
        <v>48000</v>
      </c>
      <c r="BA4" s="5">
        <v>48000</v>
      </c>
      <c r="BB4" s="5">
        <v>4</v>
      </c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</row>
    <row r="5" spans="1:107">
      <c r="A5" s="7" t="s">
        <v>156</v>
      </c>
      <c r="B5" s="7" t="s">
        <v>56</v>
      </c>
      <c r="C5" s="6" t="s">
        <v>75</v>
      </c>
      <c r="D5" s="6" t="s">
        <v>76</v>
      </c>
      <c r="E5" s="7"/>
      <c r="F5" s="7" t="s">
        <v>77</v>
      </c>
      <c r="G5" s="6" t="s">
        <v>77</v>
      </c>
      <c r="H5" s="6" t="s">
        <v>60</v>
      </c>
      <c r="I5" s="7" t="s">
        <v>77</v>
      </c>
      <c r="J5" s="7" t="s">
        <v>78</v>
      </c>
      <c r="K5" s="6" t="s">
        <v>79</v>
      </c>
      <c r="L5" s="6" t="s">
        <v>79</v>
      </c>
      <c r="M5" s="7"/>
      <c r="N5" s="7" t="s">
        <v>69</v>
      </c>
      <c r="O5" s="6">
        <v>3000</v>
      </c>
      <c r="P5" s="6">
        <v>3000</v>
      </c>
      <c r="Q5" s="7">
        <v>3</v>
      </c>
      <c r="R5" s="7">
        <v>3000</v>
      </c>
      <c r="S5" s="6">
        <v>3000</v>
      </c>
      <c r="T5" s="6">
        <v>3</v>
      </c>
      <c r="U5" s="7">
        <v>3000</v>
      </c>
      <c r="V5" s="7">
        <v>3000</v>
      </c>
      <c r="W5" s="6">
        <v>3</v>
      </c>
      <c r="X5" s="6">
        <v>3000</v>
      </c>
      <c r="Y5" s="7">
        <v>3000</v>
      </c>
      <c r="Z5" s="7">
        <v>3</v>
      </c>
      <c r="AA5" s="6">
        <v>3000</v>
      </c>
      <c r="AB5" s="6">
        <v>3000</v>
      </c>
      <c r="AC5" s="7">
        <v>3</v>
      </c>
      <c r="AD5" s="7">
        <v>3000</v>
      </c>
      <c r="AE5" s="6">
        <v>3000</v>
      </c>
      <c r="AF5" s="6">
        <v>3</v>
      </c>
      <c r="AG5" s="7">
        <v>3000</v>
      </c>
      <c r="AH5" s="7">
        <v>3000</v>
      </c>
      <c r="AI5" s="6">
        <v>3</v>
      </c>
      <c r="AJ5" s="6">
        <v>3000</v>
      </c>
      <c r="AK5" s="7">
        <v>3000</v>
      </c>
      <c r="AL5" s="7">
        <v>3</v>
      </c>
      <c r="AM5" s="6">
        <v>3000</v>
      </c>
      <c r="AN5" s="6">
        <v>3000</v>
      </c>
      <c r="AO5" s="7">
        <v>3</v>
      </c>
      <c r="AP5" s="7">
        <v>3000</v>
      </c>
      <c r="AQ5" s="6">
        <v>3000</v>
      </c>
      <c r="AR5" s="6">
        <v>3</v>
      </c>
      <c r="AS5" s="7">
        <v>3000</v>
      </c>
      <c r="AT5" s="7">
        <v>3000</v>
      </c>
      <c r="AU5" s="6">
        <v>3</v>
      </c>
      <c r="AV5" s="6">
        <v>3000</v>
      </c>
      <c r="AW5" s="7">
        <v>3000</v>
      </c>
      <c r="AX5" s="7">
        <v>3</v>
      </c>
      <c r="AY5" s="6">
        <v>0</v>
      </c>
      <c r="AZ5" s="6">
        <v>36000</v>
      </c>
      <c r="BA5" s="7">
        <v>36000</v>
      </c>
      <c r="BB5" s="7">
        <v>3</v>
      </c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</row>
    <row r="6" spans="1:107">
      <c r="A6" s="5" t="s">
        <v>156</v>
      </c>
      <c r="B6" s="5" t="s">
        <v>56</v>
      </c>
      <c r="C6" s="4" t="s">
        <v>80</v>
      </c>
      <c r="D6" s="4" t="s">
        <v>81</v>
      </c>
      <c r="E6" s="5"/>
      <c r="F6" s="5">
        <v>370316</v>
      </c>
      <c r="G6" s="4">
        <v>5841813202</v>
      </c>
      <c r="H6" s="4" t="s">
        <v>60</v>
      </c>
      <c r="I6" s="5" t="s">
        <v>82</v>
      </c>
      <c r="J6" s="5" t="s">
        <v>73</v>
      </c>
      <c r="K6" s="4" t="s">
        <v>67</v>
      </c>
      <c r="L6" s="4" t="s">
        <v>74</v>
      </c>
      <c r="M6" s="5"/>
      <c r="N6" s="5" t="s">
        <v>69</v>
      </c>
      <c r="O6" s="4">
        <v>4000</v>
      </c>
      <c r="P6" s="4">
        <v>4000</v>
      </c>
      <c r="Q6" s="5">
        <v>4</v>
      </c>
      <c r="R6" s="5">
        <v>4000</v>
      </c>
      <c r="S6" s="4">
        <v>4000</v>
      </c>
      <c r="T6" s="4">
        <v>4</v>
      </c>
      <c r="U6" s="5">
        <v>4000</v>
      </c>
      <c r="V6" s="5">
        <v>4000</v>
      </c>
      <c r="W6" s="4">
        <v>4</v>
      </c>
      <c r="X6" s="4">
        <v>4000</v>
      </c>
      <c r="Y6" s="5">
        <v>4000</v>
      </c>
      <c r="Z6" s="5">
        <v>4</v>
      </c>
      <c r="AA6" s="4">
        <v>4000</v>
      </c>
      <c r="AB6" s="4">
        <v>4000</v>
      </c>
      <c r="AC6" s="5">
        <v>4</v>
      </c>
      <c r="AD6" s="5">
        <v>4000</v>
      </c>
      <c r="AE6" s="4">
        <v>4000</v>
      </c>
      <c r="AF6" s="4">
        <v>4</v>
      </c>
      <c r="AG6" s="5">
        <v>4000</v>
      </c>
      <c r="AH6" s="5">
        <v>4000</v>
      </c>
      <c r="AI6" s="4">
        <v>4</v>
      </c>
      <c r="AJ6" s="4">
        <v>4000</v>
      </c>
      <c r="AK6" s="5">
        <v>4000</v>
      </c>
      <c r="AL6" s="5">
        <v>4</v>
      </c>
      <c r="AM6" s="4">
        <v>4000</v>
      </c>
      <c r="AN6" s="4">
        <v>4000</v>
      </c>
      <c r="AO6" s="5">
        <v>4</v>
      </c>
      <c r="AP6" s="5">
        <v>4000</v>
      </c>
      <c r="AQ6" s="4">
        <v>4000</v>
      </c>
      <c r="AR6" s="4">
        <v>4</v>
      </c>
      <c r="AS6" s="5">
        <v>4000</v>
      </c>
      <c r="AT6" s="5">
        <v>4000</v>
      </c>
      <c r="AU6" s="4">
        <v>4</v>
      </c>
      <c r="AV6" s="4">
        <v>4000</v>
      </c>
      <c r="AW6" s="5">
        <v>4000</v>
      </c>
      <c r="AX6" s="5">
        <v>4</v>
      </c>
      <c r="AY6" s="4">
        <v>0</v>
      </c>
      <c r="AZ6" s="4">
        <v>48000</v>
      </c>
      <c r="BA6" s="5">
        <v>48000</v>
      </c>
      <c r="BB6" s="5">
        <v>4</v>
      </c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</row>
    <row r="7" spans="1:107">
      <c r="A7" s="7" t="s">
        <v>156</v>
      </c>
      <c r="B7" s="7" t="s">
        <v>56</v>
      </c>
      <c r="C7" s="6" t="s">
        <v>83</v>
      </c>
      <c r="D7" s="6" t="s">
        <v>84</v>
      </c>
      <c r="E7" s="7"/>
      <c r="F7" s="7">
        <v>375725</v>
      </c>
      <c r="G7" s="6">
        <v>5841813202</v>
      </c>
      <c r="H7" s="6" t="s">
        <v>60</v>
      </c>
      <c r="I7" s="7" t="s">
        <v>85</v>
      </c>
      <c r="J7" s="7" t="s">
        <v>73</v>
      </c>
      <c r="K7" s="6" t="s">
        <v>67</v>
      </c>
      <c r="L7" s="6" t="s">
        <v>74</v>
      </c>
      <c r="M7" s="7"/>
      <c r="N7" s="7" t="s">
        <v>69</v>
      </c>
      <c r="O7" s="6">
        <v>5000</v>
      </c>
      <c r="P7" s="6">
        <v>5000</v>
      </c>
      <c r="Q7" s="7">
        <v>5</v>
      </c>
      <c r="R7" s="7">
        <v>5000</v>
      </c>
      <c r="S7" s="6">
        <v>5000</v>
      </c>
      <c r="T7" s="6">
        <v>5</v>
      </c>
      <c r="U7" s="7">
        <v>5000</v>
      </c>
      <c r="V7" s="7">
        <v>5000</v>
      </c>
      <c r="W7" s="6">
        <v>5</v>
      </c>
      <c r="X7" s="6">
        <v>5000</v>
      </c>
      <c r="Y7" s="7">
        <v>5000</v>
      </c>
      <c r="Z7" s="7">
        <v>5</v>
      </c>
      <c r="AA7" s="6">
        <v>5000</v>
      </c>
      <c r="AB7" s="6">
        <v>5000</v>
      </c>
      <c r="AC7" s="7">
        <v>5</v>
      </c>
      <c r="AD7" s="7">
        <v>5000</v>
      </c>
      <c r="AE7" s="6">
        <v>5000</v>
      </c>
      <c r="AF7" s="6">
        <v>5</v>
      </c>
      <c r="AG7" s="7">
        <v>5000</v>
      </c>
      <c r="AH7" s="7">
        <v>5000</v>
      </c>
      <c r="AI7" s="6">
        <v>5</v>
      </c>
      <c r="AJ7" s="6">
        <v>5000</v>
      </c>
      <c r="AK7" s="7">
        <v>5000</v>
      </c>
      <c r="AL7" s="7">
        <v>5</v>
      </c>
      <c r="AM7" s="6">
        <v>5000</v>
      </c>
      <c r="AN7" s="6">
        <v>5000</v>
      </c>
      <c r="AO7" s="7">
        <v>5</v>
      </c>
      <c r="AP7" s="7">
        <v>5000</v>
      </c>
      <c r="AQ7" s="6">
        <v>5000</v>
      </c>
      <c r="AR7" s="6">
        <v>5</v>
      </c>
      <c r="AS7" s="7">
        <v>5000</v>
      </c>
      <c r="AT7" s="7">
        <v>5000</v>
      </c>
      <c r="AU7" s="6">
        <v>5</v>
      </c>
      <c r="AV7" s="6">
        <v>5000</v>
      </c>
      <c r="AW7" s="7">
        <v>5000</v>
      </c>
      <c r="AX7" s="7">
        <v>5</v>
      </c>
      <c r="AY7" s="6">
        <v>0</v>
      </c>
      <c r="AZ7" s="6">
        <v>60000</v>
      </c>
      <c r="BA7" s="7">
        <v>60000</v>
      </c>
      <c r="BB7" s="7">
        <v>5</v>
      </c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</row>
    <row r="8" spans="1:107">
      <c r="A8" s="5" t="s">
        <v>156</v>
      </c>
      <c r="B8" s="5" t="s">
        <v>56</v>
      </c>
      <c r="C8" s="4" t="s">
        <v>86</v>
      </c>
      <c r="D8" s="4" t="s">
        <v>87</v>
      </c>
      <c r="E8" s="5"/>
      <c r="F8" s="5">
        <v>129915</v>
      </c>
      <c r="G8" s="4">
        <v>5841813202</v>
      </c>
      <c r="H8" s="4" t="s">
        <v>60</v>
      </c>
      <c r="I8" s="5" t="s">
        <v>88</v>
      </c>
      <c r="J8" s="5" t="s">
        <v>73</v>
      </c>
      <c r="K8" s="4" t="s">
        <v>67</v>
      </c>
      <c r="L8" s="4" t="s">
        <v>74</v>
      </c>
      <c r="M8" s="5"/>
      <c r="N8" s="5" t="s">
        <v>69</v>
      </c>
      <c r="O8" s="4">
        <v>5000</v>
      </c>
      <c r="P8" s="4">
        <v>5000</v>
      </c>
      <c r="Q8" s="5">
        <v>5</v>
      </c>
      <c r="R8" s="5">
        <v>5000</v>
      </c>
      <c r="S8" s="4">
        <v>5000</v>
      </c>
      <c r="T8" s="4">
        <v>5</v>
      </c>
      <c r="U8" s="5">
        <v>5000</v>
      </c>
      <c r="V8" s="5">
        <v>5000</v>
      </c>
      <c r="W8" s="4">
        <v>5</v>
      </c>
      <c r="X8" s="4">
        <v>5000</v>
      </c>
      <c r="Y8" s="5">
        <v>5000</v>
      </c>
      <c r="Z8" s="5">
        <v>5</v>
      </c>
      <c r="AA8" s="4">
        <v>5000</v>
      </c>
      <c r="AB8" s="4">
        <v>5000</v>
      </c>
      <c r="AC8" s="5">
        <v>5</v>
      </c>
      <c r="AD8" s="5">
        <v>5000</v>
      </c>
      <c r="AE8" s="4">
        <v>5000</v>
      </c>
      <c r="AF8" s="4">
        <v>5</v>
      </c>
      <c r="AG8" s="5">
        <v>5000</v>
      </c>
      <c r="AH8" s="5">
        <v>5000</v>
      </c>
      <c r="AI8" s="4">
        <v>5</v>
      </c>
      <c r="AJ8" s="4">
        <v>5000</v>
      </c>
      <c r="AK8" s="5">
        <v>5000</v>
      </c>
      <c r="AL8" s="5">
        <v>5</v>
      </c>
      <c r="AM8" s="4">
        <v>5000</v>
      </c>
      <c r="AN8" s="4">
        <v>5000</v>
      </c>
      <c r="AO8" s="5">
        <v>5</v>
      </c>
      <c r="AP8" s="5">
        <v>5000</v>
      </c>
      <c r="AQ8" s="4">
        <v>5000</v>
      </c>
      <c r="AR8" s="4">
        <v>5</v>
      </c>
      <c r="AS8" s="5">
        <v>5000</v>
      </c>
      <c r="AT8" s="5">
        <v>5000</v>
      </c>
      <c r="AU8" s="4">
        <v>5</v>
      </c>
      <c r="AV8" s="4">
        <v>5000</v>
      </c>
      <c r="AW8" s="5">
        <v>5000</v>
      </c>
      <c r="AX8" s="5">
        <v>5</v>
      </c>
      <c r="AY8" s="4">
        <v>0</v>
      </c>
      <c r="AZ8" s="4">
        <v>60000</v>
      </c>
      <c r="BA8" s="5">
        <v>60000</v>
      </c>
      <c r="BB8" s="5">
        <v>5</v>
      </c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</row>
    <row r="9" spans="1:107">
      <c r="A9" s="7" t="s">
        <v>156</v>
      </c>
      <c r="B9" s="7" t="s">
        <v>56</v>
      </c>
      <c r="C9" s="6" t="s">
        <v>89</v>
      </c>
      <c r="D9" s="6" t="s">
        <v>90</v>
      </c>
      <c r="E9" s="7"/>
      <c r="F9" s="7">
        <v>38617004</v>
      </c>
      <c r="G9" s="6">
        <v>5841813202</v>
      </c>
      <c r="H9" s="6" t="s">
        <v>60</v>
      </c>
      <c r="I9" s="7" t="s">
        <v>91</v>
      </c>
      <c r="J9" s="7" t="s">
        <v>73</v>
      </c>
      <c r="K9" s="6" t="s">
        <v>79</v>
      </c>
      <c r="L9" s="6" t="s">
        <v>74</v>
      </c>
      <c r="M9" s="7"/>
      <c r="N9" s="7" t="s">
        <v>69</v>
      </c>
      <c r="O9" s="6">
        <v>7000</v>
      </c>
      <c r="P9" s="6">
        <v>7000</v>
      </c>
      <c r="Q9" s="7">
        <v>7</v>
      </c>
      <c r="R9" s="7">
        <v>7000</v>
      </c>
      <c r="S9" s="6">
        <v>7000</v>
      </c>
      <c r="T9" s="6">
        <v>7</v>
      </c>
      <c r="U9" s="7">
        <v>7000</v>
      </c>
      <c r="V9" s="7">
        <v>7000</v>
      </c>
      <c r="W9" s="6">
        <v>7</v>
      </c>
      <c r="X9" s="6">
        <v>7000</v>
      </c>
      <c r="Y9" s="7">
        <v>7000</v>
      </c>
      <c r="Z9" s="7">
        <v>7</v>
      </c>
      <c r="AA9" s="6">
        <v>7000</v>
      </c>
      <c r="AB9" s="6">
        <v>7000</v>
      </c>
      <c r="AC9" s="7">
        <v>7</v>
      </c>
      <c r="AD9" s="7">
        <v>7000</v>
      </c>
      <c r="AE9" s="6">
        <v>7000</v>
      </c>
      <c r="AF9" s="6">
        <v>7</v>
      </c>
      <c r="AG9" s="7">
        <v>7000</v>
      </c>
      <c r="AH9" s="7">
        <v>7000</v>
      </c>
      <c r="AI9" s="6">
        <v>7</v>
      </c>
      <c r="AJ9" s="6">
        <v>7000</v>
      </c>
      <c r="AK9" s="7">
        <v>7000</v>
      </c>
      <c r="AL9" s="7">
        <v>7</v>
      </c>
      <c r="AM9" s="6">
        <v>7000</v>
      </c>
      <c r="AN9" s="6">
        <v>7000</v>
      </c>
      <c r="AO9" s="7">
        <v>7</v>
      </c>
      <c r="AP9" s="7">
        <v>7000</v>
      </c>
      <c r="AQ9" s="6">
        <v>7000</v>
      </c>
      <c r="AR9" s="6">
        <v>7</v>
      </c>
      <c r="AS9" s="7">
        <v>7000</v>
      </c>
      <c r="AT9" s="7">
        <v>7000</v>
      </c>
      <c r="AU9" s="6">
        <v>7</v>
      </c>
      <c r="AV9" s="6">
        <v>7000</v>
      </c>
      <c r="AW9" s="7">
        <v>7000</v>
      </c>
      <c r="AX9" s="7">
        <v>7</v>
      </c>
      <c r="AY9" s="6">
        <v>0</v>
      </c>
      <c r="AZ9" s="6">
        <v>84000</v>
      </c>
      <c r="BA9" s="7">
        <v>84000</v>
      </c>
      <c r="BB9" s="7">
        <v>7</v>
      </c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</row>
    <row r="10" spans="1:107">
      <c r="A10" s="5" t="s">
        <v>156</v>
      </c>
      <c r="B10" s="5" t="s">
        <v>56</v>
      </c>
      <c r="C10" s="4" t="s">
        <v>57</v>
      </c>
      <c r="D10" s="4" t="s">
        <v>92</v>
      </c>
      <c r="E10" s="5"/>
      <c r="F10" s="5">
        <v>38617008</v>
      </c>
      <c r="G10" s="4">
        <v>5841813202</v>
      </c>
      <c r="H10" s="4" t="s">
        <v>60</v>
      </c>
      <c r="I10" s="5" t="s">
        <v>93</v>
      </c>
      <c r="J10" s="5" t="s">
        <v>73</v>
      </c>
      <c r="K10" s="4" t="s">
        <v>79</v>
      </c>
      <c r="L10" s="4" t="s">
        <v>74</v>
      </c>
      <c r="M10" s="5"/>
      <c r="N10" s="5" t="s">
        <v>69</v>
      </c>
      <c r="O10" s="4">
        <v>4000</v>
      </c>
      <c r="P10" s="4">
        <v>4000</v>
      </c>
      <c r="Q10" s="5">
        <v>4</v>
      </c>
      <c r="R10" s="5">
        <v>4000</v>
      </c>
      <c r="S10" s="4">
        <v>4000</v>
      </c>
      <c r="T10" s="4">
        <v>4</v>
      </c>
      <c r="U10" s="5">
        <v>4000</v>
      </c>
      <c r="V10" s="5">
        <v>4000</v>
      </c>
      <c r="W10" s="4">
        <v>4</v>
      </c>
      <c r="X10" s="4">
        <v>4000</v>
      </c>
      <c r="Y10" s="5">
        <v>4000</v>
      </c>
      <c r="Z10" s="5">
        <v>4</v>
      </c>
      <c r="AA10" s="4">
        <v>4000</v>
      </c>
      <c r="AB10" s="4">
        <v>4000</v>
      </c>
      <c r="AC10" s="5">
        <v>4</v>
      </c>
      <c r="AD10" s="5">
        <v>4000</v>
      </c>
      <c r="AE10" s="4">
        <v>4000</v>
      </c>
      <c r="AF10" s="4">
        <v>4</v>
      </c>
      <c r="AG10" s="5">
        <v>4000</v>
      </c>
      <c r="AH10" s="5">
        <v>4000</v>
      </c>
      <c r="AI10" s="4">
        <v>4</v>
      </c>
      <c r="AJ10" s="4">
        <v>4000</v>
      </c>
      <c r="AK10" s="5">
        <v>4000</v>
      </c>
      <c r="AL10" s="5">
        <v>4</v>
      </c>
      <c r="AM10" s="4">
        <v>4000</v>
      </c>
      <c r="AN10" s="4">
        <v>4000</v>
      </c>
      <c r="AO10" s="5">
        <v>4</v>
      </c>
      <c r="AP10" s="5">
        <v>4000</v>
      </c>
      <c r="AQ10" s="4">
        <v>4000</v>
      </c>
      <c r="AR10" s="4">
        <v>4</v>
      </c>
      <c r="AS10" s="5">
        <v>4000</v>
      </c>
      <c r="AT10" s="5">
        <v>4000</v>
      </c>
      <c r="AU10" s="4">
        <v>4</v>
      </c>
      <c r="AV10" s="4">
        <v>4000</v>
      </c>
      <c r="AW10" s="5">
        <v>4000</v>
      </c>
      <c r="AX10" s="5">
        <v>4</v>
      </c>
      <c r="AY10" s="4">
        <v>0</v>
      </c>
      <c r="AZ10" s="4">
        <v>48000</v>
      </c>
      <c r="BA10" s="5">
        <v>48000</v>
      </c>
      <c r="BB10" s="5">
        <v>4</v>
      </c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</row>
    <row r="11" spans="1:107">
      <c r="A11" s="7" t="s">
        <v>156</v>
      </c>
      <c r="B11" s="7" t="s">
        <v>56</v>
      </c>
      <c r="C11" s="6" t="s">
        <v>80</v>
      </c>
      <c r="D11" s="6" t="s">
        <v>96</v>
      </c>
      <c r="E11" s="7" t="s">
        <v>69</v>
      </c>
      <c r="F11" s="7">
        <v>36617009</v>
      </c>
      <c r="G11" s="6">
        <v>5841993202</v>
      </c>
      <c r="H11" s="6" t="s">
        <v>60</v>
      </c>
      <c r="I11" s="7" t="s">
        <v>97</v>
      </c>
      <c r="J11" s="7" t="s">
        <v>73</v>
      </c>
      <c r="K11" s="6" t="s">
        <v>79</v>
      </c>
      <c r="L11" s="6" t="s">
        <v>74</v>
      </c>
      <c r="M11" s="7"/>
      <c r="N11" s="7" t="s">
        <v>69</v>
      </c>
      <c r="O11" s="6">
        <v>7000</v>
      </c>
      <c r="P11" s="6">
        <v>7000</v>
      </c>
      <c r="Q11" s="7">
        <v>7</v>
      </c>
      <c r="R11" s="7">
        <v>7000</v>
      </c>
      <c r="S11" s="6">
        <v>7000</v>
      </c>
      <c r="T11" s="6">
        <v>7</v>
      </c>
      <c r="U11" s="7">
        <v>7000</v>
      </c>
      <c r="V11" s="7">
        <v>7000</v>
      </c>
      <c r="W11" s="6">
        <v>7</v>
      </c>
      <c r="X11" s="6">
        <v>7000</v>
      </c>
      <c r="Y11" s="7">
        <v>7000</v>
      </c>
      <c r="Z11" s="7">
        <v>7</v>
      </c>
      <c r="AA11" s="6">
        <v>7000</v>
      </c>
      <c r="AB11" s="6">
        <v>7000</v>
      </c>
      <c r="AC11" s="7">
        <v>7</v>
      </c>
      <c r="AD11" s="7">
        <v>7000</v>
      </c>
      <c r="AE11" s="6">
        <v>7000</v>
      </c>
      <c r="AF11" s="6">
        <v>7</v>
      </c>
      <c r="AG11" s="7">
        <v>7000</v>
      </c>
      <c r="AH11" s="7">
        <v>7000</v>
      </c>
      <c r="AI11" s="6">
        <v>7</v>
      </c>
      <c r="AJ11" s="6">
        <v>7000</v>
      </c>
      <c r="AK11" s="7">
        <v>7000</v>
      </c>
      <c r="AL11" s="7">
        <v>7</v>
      </c>
      <c r="AM11" s="6">
        <v>7000</v>
      </c>
      <c r="AN11" s="6">
        <v>7000</v>
      </c>
      <c r="AO11" s="7">
        <v>7</v>
      </c>
      <c r="AP11" s="7">
        <v>7000</v>
      </c>
      <c r="AQ11" s="6">
        <v>7000</v>
      </c>
      <c r="AR11" s="6">
        <v>7</v>
      </c>
      <c r="AS11" s="7">
        <v>7000</v>
      </c>
      <c r="AT11" s="7">
        <v>7000</v>
      </c>
      <c r="AU11" s="6">
        <v>7</v>
      </c>
      <c r="AV11" s="6">
        <v>7000</v>
      </c>
      <c r="AW11" s="7">
        <v>7000</v>
      </c>
      <c r="AX11" s="7">
        <v>7</v>
      </c>
      <c r="AY11" s="6">
        <v>0</v>
      </c>
      <c r="AZ11" s="6">
        <v>84000</v>
      </c>
      <c r="BA11" s="7">
        <v>84000</v>
      </c>
      <c r="BB11" s="7">
        <v>7</v>
      </c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</row>
    <row r="12" spans="1:107">
      <c r="A12" s="5" t="s">
        <v>156</v>
      </c>
      <c r="B12" s="5" t="s">
        <v>56</v>
      </c>
      <c r="C12" s="4" t="s">
        <v>86</v>
      </c>
      <c r="D12" s="4" t="s">
        <v>98</v>
      </c>
      <c r="E12" s="5" t="s">
        <v>69</v>
      </c>
      <c r="F12" s="5">
        <v>38617007</v>
      </c>
      <c r="G12" s="4">
        <v>5842073202</v>
      </c>
      <c r="H12" s="4" t="s">
        <v>60</v>
      </c>
      <c r="I12" s="5" t="s">
        <v>99</v>
      </c>
      <c r="J12" s="5" t="s">
        <v>73</v>
      </c>
      <c r="K12" s="4" t="s">
        <v>79</v>
      </c>
      <c r="L12" s="4" t="s">
        <v>74</v>
      </c>
      <c r="M12" s="5"/>
      <c r="N12" s="5" t="s">
        <v>69</v>
      </c>
      <c r="O12" s="4">
        <v>6000</v>
      </c>
      <c r="P12" s="4">
        <v>6000</v>
      </c>
      <c r="Q12" s="5">
        <v>6</v>
      </c>
      <c r="R12" s="5">
        <v>6000</v>
      </c>
      <c r="S12" s="4">
        <v>6000</v>
      </c>
      <c r="T12" s="4">
        <v>6</v>
      </c>
      <c r="U12" s="5">
        <v>6000</v>
      </c>
      <c r="V12" s="5">
        <v>6000</v>
      </c>
      <c r="W12" s="4">
        <v>6</v>
      </c>
      <c r="X12" s="4">
        <v>6000</v>
      </c>
      <c r="Y12" s="5">
        <v>6000</v>
      </c>
      <c r="Z12" s="5">
        <v>6</v>
      </c>
      <c r="AA12" s="4">
        <v>6000</v>
      </c>
      <c r="AB12" s="4">
        <v>6000</v>
      </c>
      <c r="AC12" s="5">
        <v>6</v>
      </c>
      <c r="AD12" s="5">
        <v>6000</v>
      </c>
      <c r="AE12" s="4">
        <v>6000</v>
      </c>
      <c r="AF12" s="4">
        <v>6</v>
      </c>
      <c r="AG12" s="5">
        <v>6000</v>
      </c>
      <c r="AH12" s="5">
        <v>6000</v>
      </c>
      <c r="AI12" s="4">
        <v>6</v>
      </c>
      <c r="AJ12" s="4">
        <v>6000</v>
      </c>
      <c r="AK12" s="5">
        <v>6000</v>
      </c>
      <c r="AL12" s="5">
        <v>6</v>
      </c>
      <c r="AM12" s="4">
        <v>6000</v>
      </c>
      <c r="AN12" s="4">
        <v>6000</v>
      </c>
      <c r="AO12" s="5">
        <v>6</v>
      </c>
      <c r="AP12" s="5">
        <v>6000</v>
      </c>
      <c r="AQ12" s="4">
        <v>6000</v>
      </c>
      <c r="AR12" s="4">
        <v>6</v>
      </c>
      <c r="AS12" s="5">
        <v>6000</v>
      </c>
      <c r="AT12" s="5">
        <v>6000</v>
      </c>
      <c r="AU12" s="4">
        <v>6</v>
      </c>
      <c r="AV12" s="4">
        <v>6000</v>
      </c>
      <c r="AW12" s="5">
        <v>6000</v>
      </c>
      <c r="AX12" s="5">
        <v>6</v>
      </c>
      <c r="AY12" s="4">
        <v>0</v>
      </c>
      <c r="AZ12" s="4">
        <v>72000</v>
      </c>
      <c r="BA12" s="5">
        <v>72000</v>
      </c>
      <c r="BB12" s="5">
        <v>6</v>
      </c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</row>
    <row r="13" spans="1:107">
      <c r="A13" s="7" t="s">
        <v>156</v>
      </c>
      <c r="B13" s="7" t="s">
        <v>56</v>
      </c>
      <c r="C13" s="6" t="s">
        <v>63</v>
      </c>
      <c r="D13" s="6" t="s">
        <v>100</v>
      </c>
      <c r="E13" s="7" t="s">
        <v>69</v>
      </c>
      <c r="F13" s="7">
        <v>36617003</v>
      </c>
      <c r="G13" s="6">
        <v>5842213202</v>
      </c>
      <c r="H13" s="6" t="s">
        <v>60</v>
      </c>
      <c r="I13" s="7" t="s">
        <v>101</v>
      </c>
      <c r="J13" s="7" t="s">
        <v>73</v>
      </c>
      <c r="K13" s="6" t="s">
        <v>79</v>
      </c>
      <c r="L13" s="6" t="s">
        <v>74</v>
      </c>
      <c r="M13" s="7"/>
      <c r="N13" s="7" t="s">
        <v>69</v>
      </c>
      <c r="O13" s="6">
        <v>5000</v>
      </c>
      <c r="P13" s="6">
        <v>5000</v>
      </c>
      <c r="Q13" s="7">
        <v>5</v>
      </c>
      <c r="R13" s="7">
        <v>5000</v>
      </c>
      <c r="S13" s="6">
        <v>5000</v>
      </c>
      <c r="T13" s="6">
        <v>5</v>
      </c>
      <c r="U13" s="7">
        <v>5000</v>
      </c>
      <c r="V13" s="7">
        <v>5000</v>
      </c>
      <c r="W13" s="6">
        <v>5</v>
      </c>
      <c r="X13" s="6">
        <v>5000</v>
      </c>
      <c r="Y13" s="7">
        <v>5000</v>
      </c>
      <c r="Z13" s="7">
        <v>5</v>
      </c>
      <c r="AA13" s="6">
        <v>5000</v>
      </c>
      <c r="AB13" s="6">
        <v>5000</v>
      </c>
      <c r="AC13" s="7">
        <v>5</v>
      </c>
      <c r="AD13" s="7">
        <v>5000</v>
      </c>
      <c r="AE13" s="6">
        <v>5000</v>
      </c>
      <c r="AF13" s="6">
        <v>5</v>
      </c>
      <c r="AG13" s="7">
        <v>5000</v>
      </c>
      <c r="AH13" s="7">
        <v>5000</v>
      </c>
      <c r="AI13" s="6">
        <v>5</v>
      </c>
      <c r="AJ13" s="6">
        <v>5000</v>
      </c>
      <c r="AK13" s="7">
        <v>5000</v>
      </c>
      <c r="AL13" s="7">
        <v>5</v>
      </c>
      <c r="AM13" s="6">
        <v>5000</v>
      </c>
      <c r="AN13" s="6">
        <v>5000</v>
      </c>
      <c r="AO13" s="7">
        <v>5</v>
      </c>
      <c r="AP13" s="7">
        <v>5000</v>
      </c>
      <c r="AQ13" s="6">
        <v>5000</v>
      </c>
      <c r="AR13" s="6">
        <v>5</v>
      </c>
      <c r="AS13" s="7">
        <v>5000</v>
      </c>
      <c r="AT13" s="7">
        <v>5000</v>
      </c>
      <c r="AU13" s="6">
        <v>5</v>
      </c>
      <c r="AV13" s="6">
        <v>5000</v>
      </c>
      <c r="AW13" s="7">
        <v>5000</v>
      </c>
      <c r="AX13" s="7">
        <v>5</v>
      </c>
      <c r="AY13" s="6">
        <v>0</v>
      </c>
      <c r="AZ13" s="6">
        <v>60000</v>
      </c>
      <c r="BA13" s="7">
        <v>60000</v>
      </c>
      <c r="BB13" s="7">
        <v>5</v>
      </c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</row>
    <row r="14" spans="1:107">
      <c r="A14" s="5" t="s">
        <v>156</v>
      </c>
      <c r="B14" s="5" t="s">
        <v>56</v>
      </c>
      <c r="C14" s="4" t="s">
        <v>102</v>
      </c>
      <c r="D14" s="4" t="s">
        <v>103</v>
      </c>
      <c r="E14" s="5"/>
      <c r="F14" s="5" t="s">
        <v>104</v>
      </c>
      <c r="G14" s="4" t="s">
        <v>104</v>
      </c>
      <c r="H14" s="4" t="s">
        <v>60</v>
      </c>
      <c r="I14" s="5" t="s">
        <v>104</v>
      </c>
      <c r="J14" s="5" t="s">
        <v>78</v>
      </c>
      <c r="K14" s="4" t="s">
        <v>79</v>
      </c>
      <c r="L14" s="4" t="s">
        <v>74</v>
      </c>
      <c r="M14" s="5"/>
      <c r="N14" s="5" t="s">
        <v>69</v>
      </c>
      <c r="O14" s="4">
        <v>4000</v>
      </c>
      <c r="P14" s="4">
        <v>4000</v>
      </c>
      <c r="Q14" s="5">
        <v>4</v>
      </c>
      <c r="R14" s="5">
        <v>4000</v>
      </c>
      <c r="S14" s="4">
        <v>4000</v>
      </c>
      <c r="T14" s="4">
        <v>4</v>
      </c>
      <c r="U14" s="5">
        <v>4000</v>
      </c>
      <c r="V14" s="5">
        <v>4000</v>
      </c>
      <c r="W14" s="4">
        <v>4</v>
      </c>
      <c r="X14" s="4">
        <v>4000</v>
      </c>
      <c r="Y14" s="5">
        <v>4000</v>
      </c>
      <c r="Z14" s="5">
        <v>4</v>
      </c>
      <c r="AA14" s="4">
        <v>4000</v>
      </c>
      <c r="AB14" s="4">
        <v>4000</v>
      </c>
      <c r="AC14" s="5">
        <v>4</v>
      </c>
      <c r="AD14" s="5">
        <v>4000</v>
      </c>
      <c r="AE14" s="4">
        <v>4000</v>
      </c>
      <c r="AF14" s="4">
        <v>4</v>
      </c>
      <c r="AG14" s="5">
        <v>4000</v>
      </c>
      <c r="AH14" s="5">
        <v>4000</v>
      </c>
      <c r="AI14" s="4">
        <v>4</v>
      </c>
      <c r="AJ14" s="4">
        <v>4000</v>
      </c>
      <c r="AK14" s="5">
        <v>4000</v>
      </c>
      <c r="AL14" s="5">
        <v>4</v>
      </c>
      <c r="AM14" s="4">
        <v>4000</v>
      </c>
      <c r="AN14" s="4">
        <v>4000</v>
      </c>
      <c r="AO14" s="5">
        <v>4</v>
      </c>
      <c r="AP14" s="5">
        <v>4000</v>
      </c>
      <c r="AQ14" s="4">
        <v>4000</v>
      </c>
      <c r="AR14" s="4">
        <v>4</v>
      </c>
      <c r="AS14" s="5">
        <v>4000</v>
      </c>
      <c r="AT14" s="5">
        <v>4000</v>
      </c>
      <c r="AU14" s="4">
        <v>4</v>
      </c>
      <c r="AV14" s="4">
        <v>4000</v>
      </c>
      <c r="AW14" s="5">
        <v>4000</v>
      </c>
      <c r="AX14" s="5">
        <v>4</v>
      </c>
      <c r="AY14" s="4">
        <v>0</v>
      </c>
      <c r="AZ14" s="4">
        <v>48000</v>
      </c>
      <c r="BA14" s="5">
        <v>48000</v>
      </c>
      <c r="BB14" s="5">
        <v>4</v>
      </c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</row>
    <row r="15" spans="1:107">
      <c r="A15" s="7" t="s">
        <v>156</v>
      </c>
      <c r="B15" s="7" t="s">
        <v>56</v>
      </c>
      <c r="C15" s="6" t="s">
        <v>102</v>
      </c>
      <c r="D15" s="6" t="s">
        <v>108</v>
      </c>
      <c r="E15" s="7" t="s">
        <v>69</v>
      </c>
      <c r="F15" s="7">
        <v>36617006</v>
      </c>
      <c r="G15" s="6">
        <v>5842083202</v>
      </c>
      <c r="H15" s="6" t="s">
        <v>60</v>
      </c>
      <c r="I15" s="7" t="s">
        <v>109</v>
      </c>
      <c r="J15" s="7" t="s">
        <v>73</v>
      </c>
      <c r="K15" s="6" t="s">
        <v>79</v>
      </c>
      <c r="L15" s="6" t="s">
        <v>74</v>
      </c>
      <c r="M15" s="7"/>
      <c r="N15" s="7" t="s">
        <v>69</v>
      </c>
      <c r="O15" s="6">
        <v>7000</v>
      </c>
      <c r="P15" s="6">
        <v>7000</v>
      </c>
      <c r="Q15" s="7">
        <v>7</v>
      </c>
      <c r="R15" s="7">
        <v>7000</v>
      </c>
      <c r="S15" s="6">
        <v>7000</v>
      </c>
      <c r="T15" s="6">
        <v>7</v>
      </c>
      <c r="U15" s="7">
        <v>7000</v>
      </c>
      <c r="V15" s="7">
        <v>7000</v>
      </c>
      <c r="W15" s="6">
        <v>7</v>
      </c>
      <c r="X15" s="6">
        <v>7000</v>
      </c>
      <c r="Y15" s="7">
        <v>7000</v>
      </c>
      <c r="Z15" s="7">
        <v>7</v>
      </c>
      <c r="AA15" s="6">
        <v>7000</v>
      </c>
      <c r="AB15" s="6">
        <v>7000</v>
      </c>
      <c r="AC15" s="7">
        <v>7</v>
      </c>
      <c r="AD15" s="7">
        <v>7000</v>
      </c>
      <c r="AE15" s="6">
        <v>7000</v>
      </c>
      <c r="AF15" s="6">
        <v>7</v>
      </c>
      <c r="AG15" s="7">
        <v>7000</v>
      </c>
      <c r="AH15" s="7">
        <v>7000</v>
      </c>
      <c r="AI15" s="6">
        <v>7</v>
      </c>
      <c r="AJ15" s="6">
        <v>7000</v>
      </c>
      <c r="AK15" s="7">
        <v>7000</v>
      </c>
      <c r="AL15" s="7">
        <v>7</v>
      </c>
      <c r="AM15" s="6">
        <v>7000</v>
      </c>
      <c r="AN15" s="6">
        <v>7000</v>
      </c>
      <c r="AO15" s="7">
        <v>7</v>
      </c>
      <c r="AP15" s="7">
        <v>7000</v>
      </c>
      <c r="AQ15" s="6">
        <v>7000</v>
      </c>
      <c r="AR15" s="6">
        <v>7</v>
      </c>
      <c r="AS15" s="7">
        <v>7000</v>
      </c>
      <c r="AT15" s="7">
        <v>7000</v>
      </c>
      <c r="AU15" s="6">
        <v>7</v>
      </c>
      <c r="AV15" s="6">
        <v>7000</v>
      </c>
      <c r="AW15" s="7">
        <v>7000</v>
      </c>
      <c r="AX15" s="7">
        <v>7</v>
      </c>
      <c r="AY15" s="6">
        <v>0</v>
      </c>
      <c r="AZ15" s="6">
        <v>84000</v>
      </c>
      <c r="BA15" s="7">
        <v>84000</v>
      </c>
      <c r="BB15" s="7">
        <v>7</v>
      </c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</row>
    <row r="16" spans="1:107">
      <c r="A16" s="5" t="s">
        <v>156</v>
      </c>
      <c r="B16" s="5" t="s">
        <v>56</v>
      </c>
      <c r="C16" s="4" t="s">
        <v>75</v>
      </c>
      <c r="D16" s="4" t="s">
        <v>110</v>
      </c>
      <c r="E16" s="5" t="s">
        <v>69</v>
      </c>
      <c r="F16" s="5">
        <v>38617002</v>
      </c>
      <c r="G16" s="4">
        <v>5842283202</v>
      </c>
      <c r="H16" s="4" t="s">
        <v>60</v>
      </c>
      <c r="I16" s="5" t="s">
        <v>111</v>
      </c>
      <c r="J16" s="5" t="s">
        <v>73</v>
      </c>
      <c r="K16" s="4" t="s">
        <v>79</v>
      </c>
      <c r="L16" s="4" t="s">
        <v>74</v>
      </c>
      <c r="M16" s="5"/>
      <c r="N16" s="5" t="s">
        <v>69</v>
      </c>
      <c r="O16" s="4">
        <v>7000</v>
      </c>
      <c r="P16" s="4">
        <v>7000</v>
      </c>
      <c r="Q16" s="5">
        <v>7</v>
      </c>
      <c r="R16" s="5">
        <v>7000</v>
      </c>
      <c r="S16" s="4">
        <v>7000</v>
      </c>
      <c r="T16" s="4">
        <v>7</v>
      </c>
      <c r="U16" s="5">
        <v>7000</v>
      </c>
      <c r="V16" s="5">
        <v>7000</v>
      </c>
      <c r="W16" s="4">
        <v>7</v>
      </c>
      <c r="X16" s="4">
        <v>7000</v>
      </c>
      <c r="Y16" s="5">
        <v>7000</v>
      </c>
      <c r="Z16" s="5">
        <v>7</v>
      </c>
      <c r="AA16" s="4">
        <v>7000</v>
      </c>
      <c r="AB16" s="4">
        <v>7000</v>
      </c>
      <c r="AC16" s="5">
        <v>7</v>
      </c>
      <c r="AD16" s="5">
        <v>7000</v>
      </c>
      <c r="AE16" s="4">
        <v>7000</v>
      </c>
      <c r="AF16" s="4">
        <v>7</v>
      </c>
      <c r="AG16" s="5">
        <v>7000</v>
      </c>
      <c r="AH16" s="5">
        <v>7000</v>
      </c>
      <c r="AI16" s="4">
        <v>7</v>
      </c>
      <c r="AJ16" s="4">
        <v>7000</v>
      </c>
      <c r="AK16" s="5">
        <v>7000</v>
      </c>
      <c r="AL16" s="5">
        <v>7</v>
      </c>
      <c r="AM16" s="4">
        <v>7000</v>
      </c>
      <c r="AN16" s="4">
        <v>7000</v>
      </c>
      <c r="AO16" s="5">
        <v>7</v>
      </c>
      <c r="AP16" s="5">
        <v>7000</v>
      </c>
      <c r="AQ16" s="4">
        <v>7000</v>
      </c>
      <c r="AR16" s="4">
        <v>7</v>
      </c>
      <c r="AS16" s="5">
        <v>7000</v>
      </c>
      <c r="AT16" s="5">
        <v>7000</v>
      </c>
      <c r="AU16" s="4">
        <v>7</v>
      </c>
      <c r="AV16" s="4">
        <v>7000</v>
      </c>
      <c r="AW16" s="5">
        <v>7000</v>
      </c>
      <c r="AX16" s="5">
        <v>7</v>
      </c>
      <c r="AY16" s="4">
        <v>0</v>
      </c>
      <c r="AZ16" s="4">
        <v>84000</v>
      </c>
      <c r="BA16" s="5">
        <v>84000</v>
      </c>
      <c r="BB16" s="5">
        <v>7</v>
      </c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</row>
    <row r="17" spans="1:107">
      <c r="A17" s="7" t="s">
        <v>156</v>
      </c>
      <c r="B17" s="7" t="s">
        <v>56</v>
      </c>
      <c r="C17" s="6" t="s">
        <v>63</v>
      </c>
      <c r="D17" s="6" t="s">
        <v>114</v>
      </c>
      <c r="E17" s="7"/>
      <c r="F17" s="7">
        <v>129855</v>
      </c>
      <c r="G17" s="6">
        <v>5841813202</v>
      </c>
      <c r="H17" s="6" t="s">
        <v>60</v>
      </c>
      <c r="I17" s="7" t="s">
        <v>115</v>
      </c>
      <c r="J17" s="7" t="s">
        <v>73</v>
      </c>
      <c r="K17" s="6" t="s">
        <v>67</v>
      </c>
      <c r="L17" s="6" t="s">
        <v>74</v>
      </c>
      <c r="M17" s="7"/>
      <c r="N17" s="7" t="s">
        <v>69</v>
      </c>
      <c r="O17" s="6">
        <v>3000</v>
      </c>
      <c r="P17" s="6">
        <v>3000</v>
      </c>
      <c r="Q17" s="7">
        <v>3</v>
      </c>
      <c r="R17" s="7">
        <v>3000</v>
      </c>
      <c r="S17" s="6">
        <v>3000</v>
      </c>
      <c r="T17" s="6">
        <v>3</v>
      </c>
      <c r="U17" s="7">
        <v>3000</v>
      </c>
      <c r="V17" s="7">
        <v>3000</v>
      </c>
      <c r="W17" s="6">
        <v>3</v>
      </c>
      <c r="X17" s="6">
        <v>3000</v>
      </c>
      <c r="Y17" s="7">
        <v>3000</v>
      </c>
      <c r="Z17" s="7">
        <v>3</v>
      </c>
      <c r="AA17" s="6">
        <v>3000</v>
      </c>
      <c r="AB17" s="6">
        <v>3000</v>
      </c>
      <c r="AC17" s="7">
        <v>3</v>
      </c>
      <c r="AD17" s="7">
        <v>3000</v>
      </c>
      <c r="AE17" s="6">
        <v>3000</v>
      </c>
      <c r="AF17" s="6">
        <v>3</v>
      </c>
      <c r="AG17" s="7">
        <v>3000</v>
      </c>
      <c r="AH17" s="7">
        <v>3000</v>
      </c>
      <c r="AI17" s="6">
        <v>3</v>
      </c>
      <c r="AJ17" s="6">
        <v>3000</v>
      </c>
      <c r="AK17" s="7">
        <v>3000</v>
      </c>
      <c r="AL17" s="7">
        <v>3</v>
      </c>
      <c r="AM17" s="6">
        <v>3000</v>
      </c>
      <c r="AN17" s="6">
        <v>3000</v>
      </c>
      <c r="AO17" s="7">
        <v>3</v>
      </c>
      <c r="AP17" s="7">
        <v>3000</v>
      </c>
      <c r="AQ17" s="6">
        <v>3000</v>
      </c>
      <c r="AR17" s="6">
        <v>3</v>
      </c>
      <c r="AS17" s="7">
        <v>3000</v>
      </c>
      <c r="AT17" s="7">
        <v>3000</v>
      </c>
      <c r="AU17" s="6">
        <v>3</v>
      </c>
      <c r="AV17" s="6">
        <v>3000</v>
      </c>
      <c r="AW17" s="7">
        <v>3000</v>
      </c>
      <c r="AX17" s="7">
        <v>3</v>
      </c>
      <c r="AY17" s="6">
        <v>0</v>
      </c>
      <c r="AZ17" s="6">
        <v>36000</v>
      </c>
      <c r="BA17" s="7">
        <v>36000</v>
      </c>
      <c r="BB17" s="7">
        <v>3</v>
      </c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</row>
    <row r="18" spans="1:107">
      <c r="A18" s="5" t="s">
        <v>156</v>
      </c>
      <c r="B18" s="5" t="s">
        <v>56</v>
      </c>
      <c r="C18" s="4" t="s">
        <v>116</v>
      </c>
      <c r="D18" s="4" t="s">
        <v>117</v>
      </c>
      <c r="E18" s="5"/>
      <c r="F18" s="5">
        <v>365477</v>
      </c>
      <c r="G18" s="4">
        <v>5841813202</v>
      </c>
      <c r="H18" s="4" t="s">
        <v>60</v>
      </c>
      <c r="I18" s="5" t="s">
        <v>118</v>
      </c>
      <c r="J18" s="5" t="s">
        <v>73</v>
      </c>
      <c r="K18" s="4" t="s">
        <v>67</v>
      </c>
      <c r="L18" s="4" t="s">
        <v>74</v>
      </c>
      <c r="M18" s="5"/>
      <c r="N18" s="5" t="s">
        <v>69</v>
      </c>
      <c r="O18" s="4">
        <v>5000</v>
      </c>
      <c r="P18" s="4">
        <v>5000</v>
      </c>
      <c r="Q18" s="5">
        <v>5</v>
      </c>
      <c r="R18" s="5">
        <v>5000</v>
      </c>
      <c r="S18" s="4">
        <v>5000</v>
      </c>
      <c r="T18" s="4">
        <v>5</v>
      </c>
      <c r="U18" s="5">
        <v>5000</v>
      </c>
      <c r="V18" s="5">
        <v>5000</v>
      </c>
      <c r="W18" s="4">
        <v>5</v>
      </c>
      <c r="X18" s="4">
        <v>5000</v>
      </c>
      <c r="Y18" s="5">
        <v>5000</v>
      </c>
      <c r="Z18" s="5">
        <v>5</v>
      </c>
      <c r="AA18" s="4">
        <v>5000</v>
      </c>
      <c r="AB18" s="4">
        <v>5000</v>
      </c>
      <c r="AC18" s="5">
        <v>5</v>
      </c>
      <c r="AD18" s="5">
        <v>5000</v>
      </c>
      <c r="AE18" s="4">
        <v>5000</v>
      </c>
      <c r="AF18" s="4">
        <v>5</v>
      </c>
      <c r="AG18" s="5">
        <v>5000</v>
      </c>
      <c r="AH18" s="5">
        <v>5000</v>
      </c>
      <c r="AI18" s="4">
        <v>5</v>
      </c>
      <c r="AJ18" s="4">
        <v>5000</v>
      </c>
      <c r="AK18" s="5">
        <v>5000</v>
      </c>
      <c r="AL18" s="5">
        <v>5</v>
      </c>
      <c r="AM18" s="4">
        <v>5000</v>
      </c>
      <c r="AN18" s="4">
        <v>5000</v>
      </c>
      <c r="AO18" s="5">
        <v>5</v>
      </c>
      <c r="AP18" s="5">
        <v>5000</v>
      </c>
      <c r="AQ18" s="4">
        <v>5000</v>
      </c>
      <c r="AR18" s="4">
        <v>5</v>
      </c>
      <c r="AS18" s="5">
        <v>5000</v>
      </c>
      <c r="AT18" s="5">
        <v>5000</v>
      </c>
      <c r="AU18" s="4">
        <v>5</v>
      </c>
      <c r="AV18" s="4">
        <v>5000</v>
      </c>
      <c r="AW18" s="5">
        <v>5000</v>
      </c>
      <c r="AX18" s="5">
        <v>5</v>
      </c>
      <c r="AY18" s="4">
        <v>0</v>
      </c>
      <c r="AZ18" s="4">
        <v>60000</v>
      </c>
      <c r="BA18" s="5">
        <v>60000</v>
      </c>
      <c r="BB18" s="5">
        <v>5</v>
      </c>
      <c r="BC18" s="4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</row>
    <row r="19" spans="1:107">
      <c r="A19" s="7" t="s">
        <v>156</v>
      </c>
      <c r="B19" s="7" t="s">
        <v>56</v>
      </c>
      <c r="C19" s="6" t="s">
        <v>119</v>
      </c>
      <c r="D19" s="6" t="s">
        <v>120</v>
      </c>
      <c r="E19" s="7"/>
      <c r="F19" s="7" t="s">
        <v>121</v>
      </c>
      <c r="G19" s="6">
        <v>5841813202</v>
      </c>
      <c r="H19" s="6" t="s">
        <v>60</v>
      </c>
      <c r="I19" s="7" t="s">
        <v>121</v>
      </c>
      <c r="J19" s="7" t="s">
        <v>66</v>
      </c>
      <c r="K19" s="6" t="s">
        <v>67</v>
      </c>
      <c r="L19" s="6" t="s">
        <v>74</v>
      </c>
      <c r="M19" s="7"/>
      <c r="N19" s="7" t="s">
        <v>69</v>
      </c>
      <c r="O19" s="6">
        <v>4000</v>
      </c>
      <c r="P19" s="6">
        <v>4000</v>
      </c>
      <c r="Q19" s="7">
        <v>4</v>
      </c>
      <c r="R19" s="7">
        <v>4000</v>
      </c>
      <c r="S19" s="6">
        <v>4000</v>
      </c>
      <c r="T19" s="6">
        <v>4</v>
      </c>
      <c r="U19" s="7">
        <v>4000</v>
      </c>
      <c r="V19" s="7">
        <v>4000</v>
      </c>
      <c r="W19" s="6">
        <v>4</v>
      </c>
      <c r="X19" s="6">
        <v>4000</v>
      </c>
      <c r="Y19" s="7">
        <v>4000</v>
      </c>
      <c r="Z19" s="7">
        <v>4</v>
      </c>
      <c r="AA19" s="6">
        <v>4000</v>
      </c>
      <c r="AB19" s="6">
        <v>4000</v>
      </c>
      <c r="AC19" s="7">
        <v>4</v>
      </c>
      <c r="AD19" s="7">
        <v>4000</v>
      </c>
      <c r="AE19" s="6">
        <v>4000</v>
      </c>
      <c r="AF19" s="6">
        <v>4</v>
      </c>
      <c r="AG19" s="7">
        <v>4000</v>
      </c>
      <c r="AH19" s="7">
        <v>4000</v>
      </c>
      <c r="AI19" s="6">
        <v>4</v>
      </c>
      <c r="AJ19" s="6">
        <v>4000</v>
      </c>
      <c r="AK19" s="7">
        <v>4000</v>
      </c>
      <c r="AL19" s="7">
        <v>4</v>
      </c>
      <c r="AM19" s="6">
        <v>4000</v>
      </c>
      <c r="AN19" s="6">
        <v>4000</v>
      </c>
      <c r="AO19" s="7">
        <v>4</v>
      </c>
      <c r="AP19" s="7">
        <v>4000</v>
      </c>
      <c r="AQ19" s="6">
        <v>4000</v>
      </c>
      <c r="AR19" s="6">
        <v>4</v>
      </c>
      <c r="AS19" s="7">
        <v>4000</v>
      </c>
      <c r="AT19" s="7">
        <v>4000</v>
      </c>
      <c r="AU19" s="6">
        <v>4</v>
      </c>
      <c r="AV19" s="6">
        <v>4000</v>
      </c>
      <c r="AW19" s="7">
        <v>4000</v>
      </c>
      <c r="AX19" s="7">
        <v>4</v>
      </c>
      <c r="AY19" s="6">
        <v>0</v>
      </c>
      <c r="AZ19" s="6">
        <v>48000</v>
      </c>
      <c r="BA19" s="7">
        <v>48000</v>
      </c>
      <c r="BB19" s="7">
        <v>4</v>
      </c>
      <c r="BC19" s="6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</row>
    <row r="20" spans="1:107">
      <c r="A20" s="5" t="s">
        <v>156</v>
      </c>
      <c r="B20" s="5" t="s">
        <v>56</v>
      </c>
      <c r="C20" s="4" t="s">
        <v>75</v>
      </c>
      <c r="D20" s="4" t="s">
        <v>122</v>
      </c>
      <c r="E20" s="5"/>
      <c r="F20" s="5">
        <v>38617005</v>
      </c>
      <c r="G20" s="4">
        <v>5841843202</v>
      </c>
      <c r="H20" s="4" t="s">
        <v>60</v>
      </c>
      <c r="I20" s="5" t="s">
        <v>123</v>
      </c>
      <c r="J20" s="5" t="s">
        <v>73</v>
      </c>
      <c r="K20" s="4" t="s">
        <v>79</v>
      </c>
      <c r="L20" s="4" t="s">
        <v>74</v>
      </c>
      <c r="M20" s="5"/>
      <c r="N20" s="5" t="s">
        <v>69</v>
      </c>
      <c r="O20" s="4">
        <v>3000</v>
      </c>
      <c r="P20" s="4">
        <v>3000</v>
      </c>
      <c r="Q20" s="5">
        <v>3</v>
      </c>
      <c r="R20" s="5">
        <v>3000</v>
      </c>
      <c r="S20" s="4">
        <v>3000</v>
      </c>
      <c r="T20" s="4">
        <v>3</v>
      </c>
      <c r="U20" s="5">
        <v>3000</v>
      </c>
      <c r="V20" s="5">
        <v>3000</v>
      </c>
      <c r="W20" s="4">
        <v>3</v>
      </c>
      <c r="X20" s="4">
        <v>0</v>
      </c>
      <c r="Y20" s="5">
        <v>0</v>
      </c>
      <c r="Z20" s="5">
        <v>0</v>
      </c>
      <c r="AA20" s="4">
        <v>0</v>
      </c>
      <c r="AB20" s="4">
        <v>0</v>
      </c>
      <c r="AC20" s="5">
        <v>0</v>
      </c>
      <c r="AD20" s="5">
        <v>0</v>
      </c>
      <c r="AE20" s="4">
        <v>0</v>
      </c>
      <c r="AF20" s="4">
        <v>0</v>
      </c>
      <c r="AG20" s="5">
        <v>0</v>
      </c>
      <c r="AH20" s="5">
        <v>0</v>
      </c>
      <c r="AI20" s="4">
        <v>0</v>
      </c>
      <c r="AJ20" s="4">
        <v>0</v>
      </c>
      <c r="AK20" s="5">
        <v>0</v>
      </c>
      <c r="AL20" s="5">
        <v>0</v>
      </c>
      <c r="AM20" s="4">
        <v>0</v>
      </c>
      <c r="AN20" s="4">
        <v>0</v>
      </c>
      <c r="AO20" s="5">
        <v>0</v>
      </c>
      <c r="AP20" s="5">
        <v>0</v>
      </c>
      <c r="AQ20" s="4">
        <v>0</v>
      </c>
      <c r="AR20" s="4">
        <v>0</v>
      </c>
      <c r="AS20" s="5">
        <v>0</v>
      </c>
      <c r="AT20" s="5">
        <v>0</v>
      </c>
      <c r="AU20" s="4">
        <v>0</v>
      </c>
      <c r="AV20" s="4">
        <v>0</v>
      </c>
      <c r="AW20" s="5">
        <v>0</v>
      </c>
      <c r="AX20" s="5">
        <v>0</v>
      </c>
      <c r="AY20" s="4">
        <v>0</v>
      </c>
      <c r="AZ20" s="4">
        <v>9000</v>
      </c>
      <c r="BA20" s="5">
        <v>9000</v>
      </c>
      <c r="BB20" s="5">
        <v>0.8</v>
      </c>
      <c r="BC20" s="4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  <c r="CJ20" s="6"/>
      <c r="CK20" s="6"/>
      <c r="CL20" s="6"/>
      <c r="CM20" s="6"/>
      <c r="CN20" s="6"/>
      <c r="CO20" s="6"/>
      <c r="CP20" s="6"/>
      <c r="CQ20" s="6"/>
      <c r="CR20" s="6"/>
      <c r="CS20" s="6"/>
      <c r="CT20" s="6"/>
      <c r="CU20" s="6"/>
      <c r="CV20" s="6"/>
      <c r="CW20" s="6"/>
      <c r="CX20" s="6"/>
      <c r="CY20" s="6"/>
      <c r="CZ20" s="6"/>
      <c r="DA20" s="6"/>
      <c r="DB20" s="6"/>
      <c r="DC20" s="6"/>
    </row>
    <row r="21" spans="1:107">
      <c r="A21" s="7"/>
      <c r="B21" s="7" t="s">
        <v>134</v>
      </c>
      <c r="C21" s="6"/>
      <c r="D21" s="6"/>
      <c r="E21" s="7"/>
      <c r="F21" s="7"/>
      <c r="G21" s="6"/>
      <c r="H21" s="6"/>
      <c r="I21" s="7"/>
      <c r="J21" s="7"/>
      <c r="K21" s="6"/>
      <c r="L21" s="6"/>
      <c r="M21" s="7"/>
      <c r="N21" s="7"/>
      <c r="O21" s="6">
        <f>SUM($O$3,$O$4,$O$5,$O$6,$O$7,$O$8,$O$9,$O$10,$O$11,$O$12,$O$13,$O$14,$O$15,$O$16,$O$17,$O$18,$O$19,$O$20)</f>
        <v>85000</v>
      </c>
      <c r="P21" s="6">
        <f>SUM($P$3,$P$4,$P$5,$P$6,$P$7,$P$8,$P$9,$P$10,$P$11,$P$12,$P$13,$P$14,$P$15,$P$16,$P$17,$P$18,$P$19,$P$20)</f>
        <v>85000</v>
      </c>
      <c r="Q21" s="7">
        <f>SUM($Q$3,$Q$4,$Q$5,$Q$6,$Q$7,$Q$8,$Q$9,$Q$10,$Q$11,$Q$12,$Q$13,$Q$14,$Q$15,$Q$16,$Q$17,$Q$18,$Q$19,$Q$20)</f>
        <v>85</v>
      </c>
      <c r="R21" s="7">
        <f>SUM($R$3,$R$4,$R$5,$R$6,$R$7,$R$8,$R$9,$R$10,$R$11,$R$12,$R$13,$R$14,$R$15,$R$16,$R$17,$R$18,$R$19,$R$20)</f>
        <v>85000</v>
      </c>
      <c r="S21" s="6">
        <f>SUM($S$3,$S$4,$S$5,$S$6,$S$7,$S$8,$S$9,$S$10,$S$11,$S$12,$S$13,$S$14,$S$15,$S$16,$S$17,$S$18,$S$19,$S$20)</f>
        <v>85000</v>
      </c>
      <c r="T21" s="6">
        <f>SUM($T$3,$T$4,$T$5,$T$6,$T$7,$T$8,$T$9,$T$10,$T$11,$T$12,$T$13,$T$14,$T$15,$T$16,$T$17,$T$18,$T$19,$T$20)</f>
        <v>85</v>
      </c>
      <c r="U21" s="7">
        <f>SUM($U$3,$U$4,$U$5,$U$6,$U$7,$U$8,$U$9,$U$10,$U$11,$U$12,$U$13,$U$14,$U$15,$U$16,$U$17,$U$18,$U$19,$U$20)</f>
        <v>85000</v>
      </c>
      <c r="V21" s="7">
        <f>SUM($V$3,$V$4,$V$5,$V$6,$V$7,$V$8,$V$9,$V$10,$V$11,$V$12,$V$13,$V$14,$V$15,$V$16,$V$17,$V$18,$V$19,$V$20)</f>
        <v>85000</v>
      </c>
      <c r="W21" s="6">
        <f>SUM($W$3,$W$4,$W$5,$W$6,$W$7,$W$8,$W$9,$W$10,$W$11,$W$12,$W$13,$W$14,$W$15,$W$16,$W$17,$W$18,$W$19,$W$20)</f>
        <v>85</v>
      </c>
      <c r="X21" s="6">
        <f>SUM($X$3,$X$4,$X$5,$X$6,$X$7,$X$8,$X$9,$X$10,$X$11,$X$12,$X$13,$X$14,$X$15,$X$16,$X$17,$X$18,$X$19,$X$20)</f>
        <v>82000</v>
      </c>
      <c r="Y21" s="7">
        <f>SUM($Y$3,$Y$4,$Y$5,$Y$6,$Y$7,$Y$8,$Y$9,$Y$10,$Y$11,$Y$12,$Y$13,$Y$14,$Y$15,$Y$16,$Y$17,$Y$18,$Y$19,$Y$20)</f>
        <v>82000</v>
      </c>
      <c r="Z21" s="7">
        <f>SUM($Z$3,$Z$4,$Z$5,$Z$6,$Z$7,$Z$8,$Z$9,$Z$10,$Z$11,$Z$12,$Z$13,$Z$14,$Z$15,$Z$16,$Z$17,$Z$18,$Z$19,$Z$20)</f>
        <v>82</v>
      </c>
      <c r="AA21" s="6">
        <f>SUM($AA$3,$AA$4,$AA$5,$AA$6,$AA$7,$AA$8,$AA$9,$AA$10,$AA$11,$AA$12,$AA$13,$AA$14,$AA$15,$AA$16,$AA$17,$AA$18,$AA$19,$AA$20)</f>
        <v>82000</v>
      </c>
      <c r="AB21" s="6">
        <f>SUM($AB$3,$AB$4,$AB$5,$AB$6,$AB$7,$AB$8,$AB$9,$AB$10,$AB$11,$AB$12,$AB$13,$AB$14,$AB$15,$AB$16,$AB$17,$AB$18,$AB$19,$AB$20)</f>
        <v>82000</v>
      </c>
      <c r="AC21" s="7">
        <f>SUM($AC$3,$AC$4,$AC$5,$AC$6,$AC$7,$AC$8,$AC$9,$AC$10,$AC$11,$AC$12,$AC$13,$AC$14,$AC$15,$AC$16,$AC$17,$AC$18,$AC$19,$AC$20)</f>
        <v>82</v>
      </c>
      <c r="AD21" s="7">
        <f>SUM($AD$3,$AD$4,$AD$5,$AD$6,$AD$7,$AD$8,$AD$9,$AD$10,$AD$11,$AD$12,$AD$13,$AD$14,$AD$15,$AD$16,$AD$17,$AD$18,$AD$19,$AD$20)</f>
        <v>82000</v>
      </c>
      <c r="AE21" s="6">
        <f>SUM($AE$3,$AE$4,$AE$5,$AE$6,$AE$7,$AE$8,$AE$9,$AE$10,$AE$11,$AE$12,$AE$13,$AE$14,$AE$15,$AE$16,$AE$17,$AE$18,$AE$19,$AE$20)</f>
        <v>82000</v>
      </c>
      <c r="AF21" s="6">
        <f>SUM($AF$3,$AF$4,$AF$5,$AF$6,$AF$7,$AF$8,$AF$9,$AF$10,$AF$11,$AF$12,$AF$13,$AF$14,$AF$15,$AF$16,$AF$17,$AF$18,$AF$19,$AF$20)</f>
        <v>82</v>
      </c>
      <c r="AG21" s="7">
        <f>SUM($AG$3,$AG$4,$AG$5,$AG$6,$AG$7,$AG$8,$AG$9,$AG$10,$AG$11,$AG$12,$AG$13,$AG$14,$AG$15,$AG$16,$AG$17,$AG$18,$AG$19,$AG$20)</f>
        <v>82000</v>
      </c>
      <c r="AH21" s="7">
        <f>SUM($AH$3,$AH$4,$AH$5,$AH$6,$AH$7,$AH$8,$AH$9,$AH$10,$AH$11,$AH$12,$AH$13,$AH$14,$AH$15,$AH$16,$AH$17,$AH$18,$AH$19,$AH$20)</f>
        <v>82000</v>
      </c>
      <c r="AI21" s="6">
        <f>SUM($AI$3,$AI$4,$AI$5,$AI$6,$AI$7,$AI$8,$AI$9,$AI$10,$AI$11,$AI$12,$AI$13,$AI$14,$AI$15,$AI$16,$AI$17,$AI$18,$AI$19,$AI$20)</f>
        <v>82</v>
      </c>
      <c r="AJ21" s="6">
        <f>SUM($AJ$3,$AJ$4,$AJ$5,$AJ$6,$AJ$7,$AJ$8,$AJ$9,$AJ$10,$AJ$11,$AJ$12,$AJ$13,$AJ$14,$AJ$15,$AJ$16,$AJ$17,$AJ$18,$AJ$19,$AJ$20)</f>
        <v>82000</v>
      </c>
      <c r="AK21" s="7">
        <f>SUM($AK$3,$AK$4,$AK$5,$AK$6,$AK$7,$AK$8,$AK$9,$AK$10,$AK$11,$AK$12,$AK$13,$AK$14,$AK$15,$AK$16,$AK$17,$AK$18,$AK$19,$AK$20)</f>
        <v>82000</v>
      </c>
      <c r="AL21" s="7">
        <f>SUM($AL$3,$AL$4,$AL$5,$AL$6,$AL$7,$AL$8,$AL$9,$AL$10,$AL$11,$AL$12,$AL$13,$AL$14,$AL$15,$AL$16,$AL$17,$AL$18,$AL$19,$AL$20)</f>
        <v>82</v>
      </c>
      <c r="AM21" s="6">
        <f>SUM($AM$3,$AM$4,$AM$5,$AM$6,$AM$7,$AM$8,$AM$9,$AM$10,$AM$11,$AM$12,$AM$13,$AM$14,$AM$15,$AM$16,$AM$17,$AM$18,$AM$19,$AM$20)</f>
        <v>82000</v>
      </c>
      <c r="AN21" s="6">
        <f>SUM($AN$3,$AN$4,$AN$5,$AN$6,$AN$7,$AN$8,$AN$9,$AN$10,$AN$11,$AN$12,$AN$13,$AN$14,$AN$15,$AN$16,$AN$17,$AN$18,$AN$19,$AN$20)</f>
        <v>82000</v>
      </c>
      <c r="AO21" s="7">
        <f>SUM($AO$3,$AO$4,$AO$5,$AO$6,$AO$7,$AO$8,$AO$9,$AO$10,$AO$11,$AO$12,$AO$13,$AO$14,$AO$15,$AO$16,$AO$17,$AO$18,$AO$19,$AO$20)</f>
        <v>82</v>
      </c>
      <c r="AP21" s="7">
        <f>SUM($AP$3,$AP$4,$AP$5,$AP$6,$AP$7,$AP$8,$AP$9,$AP$10,$AP$11,$AP$12,$AP$13,$AP$14,$AP$15,$AP$16,$AP$17,$AP$18,$AP$19,$AP$20)</f>
        <v>82000</v>
      </c>
      <c r="AQ21" s="6">
        <f>SUM($AQ$3,$AQ$4,$AQ$5,$AQ$6,$AQ$7,$AQ$8,$AQ$9,$AQ$10,$AQ$11,$AQ$12,$AQ$13,$AQ$14,$AQ$15,$AQ$16,$AQ$17,$AQ$18,$AQ$19,$AQ$20)</f>
        <v>82000</v>
      </c>
      <c r="AR21" s="6">
        <f>SUM($AR$3,$AR$4,$AR$5,$AR$6,$AR$7,$AR$8,$AR$9,$AR$10,$AR$11,$AR$12,$AR$13,$AR$14,$AR$15,$AR$16,$AR$17,$AR$18,$AR$19,$AR$20)</f>
        <v>82</v>
      </c>
      <c r="AS21" s="7">
        <f>SUM($AS$3,$AS$4,$AS$5,$AS$6,$AS$7,$AS$8,$AS$9,$AS$10,$AS$11,$AS$12,$AS$13,$AS$14,$AS$15,$AS$16,$AS$17,$AS$18,$AS$19,$AS$20)</f>
        <v>82000</v>
      </c>
      <c r="AT21" s="7">
        <f>SUM($AT$3,$AT$4,$AT$5,$AT$6,$AT$7,$AT$8,$AT$9,$AT$10,$AT$11,$AT$12,$AT$13,$AT$14,$AT$15,$AT$16,$AT$17,$AT$18,$AT$19,$AT$20)</f>
        <v>82000</v>
      </c>
      <c r="AU21" s="6">
        <f>SUM($AU$3,$AU$4,$AU$5,$AU$6,$AU$7,$AU$8,$AU$9,$AU$10,$AU$11,$AU$12,$AU$13,$AU$14,$AU$15,$AU$16,$AU$17,$AU$18,$AU$19,$AU$20)</f>
        <v>82</v>
      </c>
      <c r="AV21" s="6">
        <f>SUM($AV$3,$AV$4,$AV$5,$AV$6,$AV$7,$AV$8,$AV$9,$AV$10,$AV$11,$AV$12,$AV$13,$AV$14,$AV$15,$AV$16,$AV$17,$AV$18,$AV$19,$AV$20)</f>
        <v>82000</v>
      </c>
      <c r="AW21" s="7">
        <f>SUM($AW$3,$AW$4,$AW$5,$AW$6,$AW$7,$AW$8,$AW$9,$AW$10,$AW$11,$AW$12,$AW$13,$AW$14,$AW$15,$AW$16,$AW$17,$AW$18,$AW$19,$AW$20)</f>
        <v>82000</v>
      </c>
      <c r="AX21" s="7">
        <f>SUM($AX$3,$AX$4,$AX$5,$AX$6,$AX$7,$AX$8,$AX$9,$AX$10,$AX$11,$AX$12,$AX$13,$AX$14,$AX$15,$AX$16,$AX$17,$AX$18,$AX$19,$AX$20)</f>
        <v>82</v>
      </c>
      <c r="AY21" s="6">
        <f>SUM($AY$3,$AY$4,$AY$5,$AY$6,$AY$7,$AY$8,$AY$9,$AY$10,$AY$11,$AY$12,$AY$13,$AY$14,$AY$15,$AY$16,$AY$17,$AY$18,$AY$19,$AY$20)</f>
        <v>0</v>
      </c>
      <c r="AZ21" s="6">
        <f>SUM($AZ$3,$AZ$4,$AZ$5,$AZ$6,$AZ$7,$AZ$8,$AZ$9,$AZ$10,$AZ$11,$AZ$12,$AZ$13,$AZ$14,$AZ$15,$AZ$16,$AZ$17,$AZ$18,$AZ$19,$AZ$20)</f>
        <v>993000</v>
      </c>
      <c r="BA21" s="7">
        <f>SUM($BA$3,$BA$4,$BA$5,$BA$6,$BA$7,$BA$8,$BA$9,$BA$10,$BA$11,$BA$12,$BA$13,$BA$14,$BA$15,$BA$16,$BA$17,$BA$18,$BA$19,$BA$20)</f>
        <v>993000</v>
      </c>
      <c r="BB21" s="7">
        <f>SUM($BB$3,$BB$4,$BB$5,$BB$6,$BB$7,$BB$8,$BB$9,$BB$10,$BB$11,$BB$12,$BB$13,$BB$14,$BB$15,$BB$16,$BB$17,$BB$18,$BB$19,$BB$20)</f>
        <v>82.8</v>
      </c>
      <c r="BC21" s="4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  <c r="CJ21" s="6"/>
      <c r="CK21" s="6"/>
      <c r="CL21" s="6"/>
      <c r="CM21" s="6"/>
      <c r="CN21" s="6"/>
      <c r="CO21" s="6"/>
      <c r="CP21" s="6"/>
      <c r="CQ21" s="6"/>
      <c r="CR21" s="6"/>
      <c r="CS21" s="6"/>
      <c r="CT21" s="6"/>
      <c r="CU21" s="6"/>
      <c r="CV21" s="6"/>
      <c r="CW21" s="6"/>
      <c r="CX21" s="6"/>
      <c r="CY21" s="6"/>
      <c r="CZ21" s="6"/>
      <c r="DA21" s="6"/>
      <c r="DB21" s="6"/>
      <c r="DC21" s="6"/>
    </row>
    <row r="22" spans="1:107">
      <c r="A22" s="5"/>
      <c r="B22" s="5"/>
      <c r="C22" s="4"/>
      <c r="D22" s="4"/>
      <c r="E22" s="5"/>
      <c r="F22" s="5"/>
      <c r="G22" s="4"/>
      <c r="H22" s="4"/>
      <c r="I22" s="5"/>
      <c r="J22" s="5"/>
      <c r="K22" s="4"/>
      <c r="L22" s="4"/>
      <c r="M22" s="5"/>
      <c r="N22" s="5"/>
      <c r="O22" s="4"/>
      <c r="P22" s="4"/>
      <c r="Q22" s="5"/>
      <c r="R22" s="5"/>
      <c r="S22" s="4"/>
      <c r="T22" s="4"/>
      <c r="U22" s="5"/>
      <c r="V22" s="5"/>
      <c r="W22" s="4"/>
      <c r="X22" s="4"/>
      <c r="Y22" s="5"/>
      <c r="Z22" s="5"/>
      <c r="AA22" s="4"/>
      <c r="AB22" s="4"/>
      <c r="AC22" s="5"/>
      <c r="AD22" s="5"/>
      <c r="AE22" s="4"/>
      <c r="AF22" s="4"/>
      <c r="AG22" s="5"/>
      <c r="AH22" s="5"/>
      <c r="AI22" s="4"/>
      <c r="AJ22" s="4"/>
      <c r="AK22" s="5"/>
      <c r="AL22" s="5"/>
      <c r="AM22" s="4"/>
      <c r="AN22" s="4"/>
      <c r="AO22" s="5"/>
      <c r="AP22" s="5"/>
      <c r="AQ22" s="4"/>
      <c r="AR22" s="4"/>
      <c r="AS22" s="5"/>
      <c r="AT22" s="5"/>
      <c r="AU22" s="4"/>
      <c r="AV22" s="4"/>
      <c r="AW22" s="5"/>
      <c r="AX22" s="5"/>
      <c r="AY22" s="4"/>
      <c r="AZ22" s="4"/>
      <c r="BA22" s="5"/>
      <c r="BB22" s="5"/>
      <c r="BC22" s="4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  <c r="DC22" s="6"/>
    </row>
    <row r="23" spans="1:107">
      <c r="A23" s="7" t="s">
        <v>132</v>
      </c>
      <c r="B23" s="7" t="s">
        <v>56</v>
      </c>
      <c r="C23" s="6" t="s">
        <v>63</v>
      </c>
      <c r="D23" s="6" t="s">
        <v>64</v>
      </c>
      <c r="E23" s="7"/>
      <c r="F23" s="7" t="s">
        <v>65</v>
      </c>
      <c r="G23" s="6">
        <v>5841813202</v>
      </c>
      <c r="H23" s="6" t="s">
        <v>60</v>
      </c>
      <c r="I23" s="7" t="s">
        <v>65</v>
      </c>
      <c r="J23" s="7" t="s">
        <v>66</v>
      </c>
      <c r="K23" s="6" t="s">
        <v>67</v>
      </c>
      <c r="L23" s="6" t="s">
        <v>68</v>
      </c>
      <c r="M23" s="7"/>
      <c r="N23" s="7" t="s">
        <v>69</v>
      </c>
      <c r="O23" s="6">
        <v>3000</v>
      </c>
      <c r="P23" s="6">
        <v>3000</v>
      </c>
      <c r="Q23" s="7">
        <v>3</v>
      </c>
      <c r="R23" s="7">
        <v>3000</v>
      </c>
      <c r="S23" s="6">
        <v>3000</v>
      </c>
      <c r="T23" s="6">
        <v>3</v>
      </c>
      <c r="U23" s="7">
        <v>3000</v>
      </c>
      <c r="V23" s="7">
        <v>3000</v>
      </c>
      <c r="W23" s="6">
        <v>3</v>
      </c>
      <c r="X23" s="6">
        <v>3000</v>
      </c>
      <c r="Y23" s="7">
        <v>3000</v>
      </c>
      <c r="Z23" s="7">
        <v>3</v>
      </c>
      <c r="AA23" s="6">
        <v>3000</v>
      </c>
      <c r="AB23" s="6">
        <v>3000</v>
      </c>
      <c r="AC23" s="7">
        <v>3</v>
      </c>
      <c r="AD23" s="7">
        <v>3000</v>
      </c>
      <c r="AE23" s="6">
        <v>3000</v>
      </c>
      <c r="AF23" s="6">
        <v>3</v>
      </c>
      <c r="AG23" s="7">
        <v>3000</v>
      </c>
      <c r="AH23" s="7">
        <v>3000</v>
      </c>
      <c r="AI23" s="6">
        <v>3</v>
      </c>
      <c r="AJ23" s="6">
        <v>3000</v>
      </c>
      <c r="AK23" s="7">
        <v>3000</v>
      </c>
      <c r="AL23" s="7">
        <v>3</v>
      </c>
      <c r="AM23" s="6">
        <v>3000</v>
      </c>
      <c r="AN23" s="6">
        <v>3000</v>
      </c>
      <c r="AO23" s="7">
        <v>3</v>
      </c>
      <c r="AP23" s="7">
        <v>3000</v>
      </c>
      <c r="AQ23" s="6">
        <v>3000</v>
      </c>
      <c r="AR23" s="6">
        <v>3</v>
      </c>
      <c r="AS23" s="7">
        <v>3000</v>
      </c>
      <c r="AT23" s="7">
        <v>3000</v>
      </c>
      <c r="AU23" s="6">
        <v>3</v>
      </c>
      <c r="AV23" s="6">
        <v>3000</v>
      </c>
      <c r="AW23" s="7">
        <v>3000</v>
      </c>
      <c r="AX23" s="7">
        <v>3</v>
      </c>
      <c r="AY23" s="6">
        <v>0</v>
      </c>
      <c r="AZ23" s="6">
        <v>36000</v>
      </c>
      <c r="BA23" s="7">
        <v>36000</v>
      </c>
      <c r="BB23" s="7">
        <v>3</v>
      </c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</row>
    <row r="24" spans="1:107">
      <c r="A24" s="5" t="s">
        <v>132</v>
      </c>
      <c r="B24" s="5" t="s">
        <v>56</v>
      </c>
      <c r="C24" s="4" t="s">
        <v>105</v>
      </c>
      <c r="D24" s="4" t="s">
        <v>106</v>
      </c>
      <c r="E24" s="5"/>
      <c r="F24" s="5" t="s">
        <v>107</v>
      </c>
      <c r="G24" s="4">
        <v>5842263202</v>
      </c>
      <c r="H24" s="4" t="s">
        <v>60</v>
      </c>
      <c r="I24" s="5" t="s">
        <v>107</v>
      </c>
      <c r="J24" s="5" t="s">
        <v>66</v>
      </c>
      <c r="K24" s="4" t="s">
        <v>79</v>
      </c>
      <c r="L24" s="4" t="s">
        <v>74</v>
      </c>
      <c r="M24" s="5"/>
      <c r="N24" s="5" t="s">
        <v>69</v>
      </c>
      <c r="O24" s="4">
        <v>5000</v>
      </c>
      <c r="P24" s="4">
        <v>5000</v>
      </c>
      <c r="Q24" s="5">
        <v>5</v>
      </c>
      <c r="R24" s="5">
        <v>5000</v>
      </c>
      <c r="S24" s="4">
        <v>5000</v>
      </c>
      <c r="T24" s="4">
        <v>5</v>
      </c>
      <c r="U24" s="5">
        <v>5000</v>
      </c>
      <c r="V24" s="5">
        <v>5000</v>
      </c>
      <c r="W24" s="4">
        <v>5</v>
      </c>
      <c r="X24" s="4">
        <v>5000</v>
      </c>
      <c r="Y24" s="5">
        <v>5000</v>
      </c>
      <c r="Z24" s="5">
        <v>5</v>
      </c>
      <c r="AA24" s="4">
        <v>5000</v>
      </c>
      <c r="AB24" s="4">
        <v>5000</v>
      </c>
      <c r="AC24" s="5">
        <v>5</v>
      </c>
      <c r="AD24" s="5">
        <v>5000</v>
      </c>
      <c r="AE24" s="4">
        <v>5000</v>
      </c>
      <c r="AF24" s="4">
        <v>5</v>
      </c>
      <c r="AG24" s="5">
        <v>5000</v>
      </c>
      <c r="AH24" s="5">
        <v>5000</v>
      </c>
      <c r="AI24" s="4">
        <v>5</v>
      </c>
      <c r="AJ24" s="4">
        <v>5000</v>
      </c>
      <c r="AK24" s="5">
        <v>5000</v>
      </c>
      <c r="AL24" s="5">
        <v>5</v>
      </c>
      <c r="AM24" s="4">
        <v>5000</v>
      </c>
      <c r="AN24" s="4">
        <v>5000</v>
      </c>
      <c r="AO24" s="5">
        <v>5</v>
      </c>
      <c r="AP24" s="5">
        <v>5000</v>
      </c>
      <c r="AQ24" s="4">
        <v>5000</v>
      </c>
      <c r="AR24" s="4">
        <v>5</v>
      </c>
      <c r="AS24" s="5">
        <v>5000</v>
      </c>
      <c r="AT24" s="5">
        <v>5000</v>
      </c>
      <c r="AU24" s="4">
        <v>5</v>
      </c>
      <c r="AV24" s="4">
        <v>5000</v>
      </c>
      <c r="AW24" s="5">
        <v>5000</v>
      </c>
      <c r="AX24" s="5">
        <v>5</v>
      </c>
      <c r="AY24" s="4">
        <v>0</v>
      </c>
      <c r="AZ24" s="4">
        <v>60000</v>
      </c>
      <c r="BA24" s="5">
        <v>60000</v>
      </c>
      <c r="BB24" s="5">
        <v>5</v>
      </c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</row>
    <row r="25" spans="1:107">
      <c r="A25" s="7" t="s">
        <v>132</v>
      </c>
      <c r="B25" s="7" t="s">
        <v>56</v>
      </c>
      <c r="C25" s="6" t="s">
        <v>116</v>
      </c>
      <c r="D25" s="6" t="s">
        <v>117</v>
      </c>
      <c r="E25" s="7"/>
      <c r="F25" s="7">
        <v>365477</v>
      </c>
      <c r="G25" s="6">
        <v>5841813202</v>
      </c>
      <c r="H25" s="6" t="s">
        <v>60</v>
      </c>
      <c r="I25" s="7" t="s">
        <v>118</v>
      </c>
      <c r="J25" s="7" t="s">
        <v>73</v>
      </c>
      <c r="K25" s="6" t="s">
        <v>67</v>
      </c>
      <c r="L25" s="6" t="s">
        <v>74</v>
      </c>
      <c r="M25" s="7"/>
      <c r="N25" s="7" t="s">
        <v>69</v>
      </c>
      <c r="O25" s="6">
        <v>5000</v>
      </c>
      <c r="P25" s="6">
        <v>5000</v>
      </c>
      <c r="Q25" s="7">
        <v>5</v>
      </c>
      <c r="R25" s="7">
        <v>5000</v>
      </c>
      <c r="S25" s="6">
        <v>5000</v>
      </c>
      <c r="T25" s="6">
        <v>5</v>
      </c>
      <c r="U25" s="7">
        <v>5000</v>
      </c>
      <c r="V25" s="7">
        <v>5000</v>
      </c>
      <c r="W25" s="6">
        <v>5</v>
      </c>
      <c r="X25" s="6">
        <v>5000</v>
      </c>
      <c r="Y25" s="7">
        <v>5000</v>
      </c>
      <c r="Z25" s="7">
        <v>5</v>
      </c>
      <c r="AA25" s="6">
        <v>5000</v>
      </c>
      <c r="AB25" s="6">
        <v>5000</v>
      </c>
      <c r="AC25" s="7">
        <v>5</v>
      </c>
      <c r="AD25" s="7">
        <v>5000</v>
      </c>
      <c r="AE25" s="6">
        <v>5000</v>
      </c>
      <c r="AF25" s="6">
        <v>5</v>
      </c>
      <c r="AG25" s="7">
        <v>5000</v>
      </c>
      <c r="AH25" s="7">
        <v>5000</v>
      </c>
      <c r="AI25" s="6">
        <v>5</v>
      </c>
      <c r="AJ25" s="6">
        <v>5000</v>
      </c>
      <c r="AK25" s="7">
        <v>5000</v>
      </c>
      <c r="AL25" s="7">
        <v>5</v>
      </c>
      <c r="AM25" s="6">
        <v>5000</v>
      </c>
      <c r="AN25" s="6">
        <v>5000</v>
      </c>
      <c r="AO25" s="7">
        <v>5</v>
      </c>
      <c r="AP25" s="7">
        <v>5000</v>
      </c>
      <c r="AQ25" s="6">
        <v>5000</v>
      </c>
      <c r="AR25" s="6">
        <v>5</v>
      </c>
      <c r="AS25" s="7">
        <v>5000</v>
      </c>
      <c r="AT25" s="7">
        <v>5000</v>
      </c>
      <c r="AU25" s="6">
        <v>5</v>
      </c>
      <c r="AV25" s="6">
        <v>5000</v>
      </c>
      <c r="AW25" s="7">
        <v>5000</v>
      </c>
      <c r="AX25" s="7">
        <v>5</v>
      </c>
      <c r="AY25" s="6">
        <v>0</v>
      </c>
      <c r="AZ25" s="6">
        <v>60000</v>
      </c>
      <c r="BA25" s="7">
        <v>60000</v>
      </c>
      <c r="BB25" s="7">
        <v>5</v>
      </c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</row>
    <row r="26" spans="1:107">
      <c r="A26" s="5" t="s">
        <v>132</v>
      </c>
      <c r="B26" s="5" t="s">
        <v>56</v>
      </c>
      <c r="C26" s="4" t="s">
        <v>119</v>
      </c>
      <c r="D26" s="4" t="s">
        <v>120</v>
      </c>
      <c r="E26" s="5"/>
      <c r="F26" s="5" t="s">
        <v>121</v>
      </c>
      <c r="G26" s="4">
        <v>5841813202</v>
      </c>
      <c r="H26" s="4" t="s">
        <v>60</v>
      </c>
      <c r="I26" s="5" t="s">
        <v>121</v>
      </c>
      <c r="J26" s="5" t="s">
        <v>66</v>
      </c>
      <c r="K26" s="4" t="s">
        <v>67</v>
      </c>
      <c r="L26" s="4" t="s">
        <v>74</v>
      </c>
      <c r="M26" s="5"/>
      <c r="N26" s="5" t="s">
        <v>69</v>
      </c>
      <c r="O26" s="4">
        <v>4000</v>
      </c>
      <c r="P26" s="4">
        <v>4000</v>
      </c>
      <c r="Q26" s="5">
        <v>4</v>
      </c>
      <c r="R26" s="5">
        <v>4000</v>
      </c>
      <c r="S26" s="4">
        <v>4000</v>
      </c>
      <c r="T26" s="4">
        <v>4</v>
      </c>
      <c r="U26" s="5">
        <v>4000</v>
      </c>
      <c r="V26" s="5">
        <v>4000</v>
      </c>
      <c r="W26" s="4">
        <v>4</v>
      </c>
      <c r="X26" s="4">
        <v>4000</v>
      </c>
      <c r="Y26" s="5">
        <v>4000</v>
      </c>
      <c r="Z26" s="5">
        <v>4</v>
      </c>
      <c r="AA26" s="4">
        <v>4000</v>
      </c>
      <c r="AB26" s="4">
        <v>4000</v>
      </c>
      <c r="AC26" s="5">
        <v>4</v>
      </c>
      <c r="AD26" s="5">
        <v>4000</v>
      </c>
      <c r="AE26" s="4">
        <v>4000</v>
      </c>
      <c r="AF26" s="4">
        <v>4</v>
      </c>
      <c r="AG26" s="5">
        <v>4000</v>
      </c>
      <c r="AH26" s="5">
        <v>4000</v>
      </c>
      <c r="AI26" s="4">
        <v>4</v>
      </c>
      <c r="AJ26" s="4">
        <v>4000</v>
      </c>
      <c r="AK26" s="5">
        <v>4000</v>
      </c>
      <c r="AL26" s="5">
        <v>4</v>
      </c>
      <c r="AM26" s="4">
        <v>4000</v>
      </c>
      <c r="AN26" s="4">
        <v>4000</v>
      </c>
      <c r="AO26" s="5">
        <v>4</v>
      </c>
      <c r="AP26" s="5">
        <v>4000</v>
      </c>
      <c r="AQ26" s="4">
        <v>4000</v>
      </c>
      <c r="AR26" s="4">
        <v>4</v>
      </c>
      <c r="AS26" s="5">
        <v>4000</v>
      </c>
      <c r="AT26" s="5">
        <v>4000</v>
      </c>
      <c r="AU26" s="4">
        <v>4</v>
      </c>
      <c r="AV26" s="4">
        <v>4000</v>
      </c>
      <c r="AW26" s="5">
        <v>4000</v>
      </c>
      <c r="AX26" s="5">
        <v>4</v>
      </c>
      <c r="AY26" s="4">
        <v>0</v>
      </c>
      <c r="AZ26" s="4">
        <v>48000</v>
      </c>
      <c r="BA26" s="5">
        <v>48000</v>
      </c>
      <c r="BB26" s="5">
        <v>4</v>
      </c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</row>
    <row r="27" spans="1:107">
      <c r="A27" s="7" t="s">
        <v>132</v>
      </c>
      <c r="B27" s="7" t="s">
        <v>56</v>
      </c>
      <c r="C27" s="6" t="s">
        <v>75</v>
      </c>
      <c r="D27" s="6" t="s">
        <v>122</v>
      </c>
      <c r="E27" s="7"/>
      <c r="F27" s="7">
        <v>38617005</v>
      </c>
      <c r="G27" s="6">
        <v>5841843202</v>
      </c>
      <c r="H27" s="6" t="s">
        <v>60</v>
      </c>
      <c r="I27" s="7" t="s">
        <v>123</v>
      </c>
      <c r="J27" s="7" t="s">
        <v>73</v>
      </c>
      <c r="K27" s="6" t="s">
        <v>79</v>
      </c>
      <c r="L27" s="6" t="s">
        <v>74</v>
      </c>
      <c r="M27" s="7"/>
      <c r="N27" s="7" t="s">
        <v>69</v>
      </c>
      <c r="O27" s="6">
        <v>3000</v>
      </c>
      <c r="P27" s="6">
        <v>3000</v>
      </c>
      <c r="Q27" s="7">
        <v>3</v>
      </c>
      <c r="R27" s="7">
        <v>3000</v>
      </c>
      <c r="S27" s="6">
        <v>3000</v>
      </c>
      <c r="T27" s="6">
        <v>3</v>
      </c>
      <c r="U27" s="7">
        <v>3000</v>
      </c>
      <c r="V27" s="7">
        <v>3000</v>
      </c>
      <c r="W27" s="6">
        <v>3</v>
      </c>
      <c r="X27" s="6">
        <v>0</v>
      </c>
      <c r="Y27" s="7">
        <v>0</v>
      </c>
      <c r="Z27" s="7">
        <v>0</v>
      </c>
      <c r="AA27" s="6">
        <v>0</v>
      </c>
      <c r="AB27" s="6">
        <v>0</v>
      </c>
      <c r="AC27" s="7">
        <v>0</v>
      </c>
      <c r="AD27" s="7">
        <v>0</v>
      </c>
      <c r="AE27" s="6">
        <v>0</v>
      </c>
      <c r="AF27" s="6">
        <v>0</v>
      </c>
      <c r="AG27" s="7">
        <v>0</v>
      </c>
      <c r="AH27" s="7">
        <v>0</v>
      </c>
      <c r="AI27" s="6">
        <v>0</v>
      </c>
      <c r="AJ27" s="6">
        <v>0</v>
      </c>
      <c r="AK27" s="7">
        <v>0</v>
      </c>
      <c r="AL27" s="7">
        <v>0</v>
      </c>
      <c r="AM27" s="6">
        <v>0</v>
      </c>
      <c r="AN27" s="6">
        <v>0</v>
      </c>
      <c r="AO27" s="7">
        <v>0</v>
      </c>
      <c r="AP27" s="7">
        <v>0</v>
      </c>
      <c r="AQ27" s="6">
        <v>0</v>
      </c>
      <c r="AR27" s="6">
        <v>0</v>
      </c>
      <c r="AS27" s="7">
        <v>0</v>
      </c>
      <c r="AT27" s="7">
        <v>0</v>
      </c>
      <c r="AU27" s="6">
        <v>0</v>
      </c>
      <c r="AV27" s="6">
        <v>0</v>
      </c>
      <c r="AW27" s="7">
        <v>0</v>
      </c>
      <c r="AX27" s="7">
        <v>0</v>
      </c>
      <c r="AY27" s="6">
        <v>0</v>
      </c>
      <c r="AZ27" s="6">
        <v>9000</v>
      </c>
      <c r="BA27" s="7">
        <v>9000</v>
      </c>
      <c r="BB27" s="7">
        <v>0.8</v>
      </c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</row>
    <row r="28" spans="1:107">
      <c r="A28" s="5" t="s">
        <v>132</v>
      </c>
      <c r="B28" s="5" t="s">
        <v>56</v>
      </c>
      <c r="C28" s="4" t="s">
        <v>63</v>
      </c>
      <c r="D28" s="4" t="s">
        <v>114</v>
      </c>
      <c r="E28" s="5"/>
      <c r="F28" s="5">
        <v>129855</v>
      </c>
      <c r="G28" s="4">
        <v>5841813202</v>
      </c>
      <c r="H28" s="4" t="s">
        <v>60</v>
      </c>
      <c r="I28" s="5" t="s">
        <v>115</v>
      </c>
      <c r="J28" s="5" t="s">
        <v>73</v>
      </c>
      <c r="K28" s="4" t="s">
        <v>67</v>
      </c>
      <c r="L28" s="4" t="s">
        <v>74</v>
      </c>
      <c r="M28" s="5"/>
      <c r="N28" s="5" t="s">
        <v>69</v>
      </c>
      <c r="O28" s="4">
        <v>3000</v>
      </c>
      <c r="P28" s="4">
        <v>3000</v>
      </c>
      <c r="Q28" s="5">
        <v>3</v>
      </c>
      <c r="R28" s="5">
        <v>3000</v>
      </c>
      <c r="S28" s="4">
        <v>3000</v>
      </c>
      <c r="T28" s="4">
        <v>3</v>
      </c>
      <c r="U28" s="5">
        <v>3000</v>
      </c>
      <c r="V28" s="5">
        <v>3000</v>
      </c>
      <c r="W28" s="4">
        <v>3</v>
      </c>
      <c r="X28" s="4">
        <v>3000</v>
      </c>
      <c r="Y28" s="5">
        <v>3000</v>
      </c>
      <c r="Z28" s="5">
        <v>3</v>
      </c>
      <c r="AA28" s="4">
        <v>3000</v>
      </c>
      <c r="AB28" s="4">
        <v>3000</v>
      </c>
      <c r="AC28" s="5">
        <v>3</v>
      </c>
      <c r="AD28" s="5">
        <v>3000</v>
      </c>
      <c r="AE28" s="4">
        <v>3000</v>
      </c>
      <c r="AF28" s="4">
        <v>3</v>
      </c>
      <c r="AG28" s="5">
        <v>3000</v>
      </c>
      <c r="AH28" s="5">
        <v>3000</v>
      </c>
      <c r="AI28" s="4">
        <v>3</v>
      </c>
      <c r="AJ28" s="4">
        <v>3000</v>
      </c>
      <c r="AK28" s="5">
        <v>3000</v>
      </c>
      <c r="AL28" s="5">
        <v>3</v>
      </c>
      <c r="AM28" s="4">
        <v>3000</v>
      </c>
      <c r="AN28" s="4">
        <v>3000</v>
      </c>
      <c r="AO28" s="5">
        <v>3</v>
      </c>
      <c r="AP28" s="5">
        <v>3000</v>
      </c>
      <c r="AQ28" s="4">
        <v>3000</v>
      </c>
      <c r="AR28" s="4">
        <v>3</v>
      </c>
      <c r="AS28" s="5">
        <v>3000</v>
      </c>
      <c r="AT28" s="5">
        <v>3000</v>
      </c>
      <c r="AU28" s="4">
        <v>3</v>
      </c>
      <c r="AV28" s="4">
        <v>3000</v>
      </c>
      <c r="AW28" s="5">
        <v>3000</v>
      </c>
      <c r="AX28" s="5">
        <v>3</v>
      </c>
      <c r="AY28" s="4">
        <v>0</v>
      </c>
      <c r="AZ28" s="4">
        <v>36000</v>
      </c>
      <c r="BA28" s="5">
        <v>36000</v>
      </c>
      <c r="BB28" s="5">
        <v>3</v>
      </c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</row>
    <row r="29" spans="1:107">
      <c r="A29" s="7"/>
      <c r="B29" s="7" t="s">
        <v>135</v>
      </c>
      <c r="C29" s="6"/>
      <c r="D29" s="6"/>
      <c r="E29" s="7"/>
      <c r="F29" s="7"/>
      <c r="G29" s="6"/>
      <c r="H29" s="6"/>
      <c r="I29" s="7"/>
      <c r="J29" s="7"/>
      <c r="K29" s="6"/>
      <c r="L29" s="6"/>
      <c r="M29" s="7"/>
      <c r="N29" s="7"/>
      <c r="O29" s="6">
        <f>SUM($O$23:$O$28)</f>
        <v>23000</v>
      </c>
      <c r="P29" s="6">
        <f>SUM($P$23:$P$28)</f>
        <v>23000</v>
      </c>
      <c r="Q29" s="7">
        <f>SUM($Q$23:$Q$28)</f>
        <v>23</v>
      </c>
      <c r="R29" s="7">
        <f>SUM($R$23:$R$28)</f>
        <v>23000</v>
      </c>
      <c r="S29" s="6">
        <f>SUM($S$23:$S$28)</f>
        <v>23000</v>
      </c>
      <c r="T29" s="6">
        <f>SUM($T$23:$T$28)</f>
        <v>23</v>
      </c>
      <c r="U29" s="7">
        <f>SUM($U$23:$U$28)</f>
        <v>23000</v>
      </c>
      <c r="V29" s="7">
        <f>SUM($V$23:$V$28)</f>
        <v>23000</v>
      </c>
      <c r="W29" s="6">
        <f>SUM($W$23:$W$28)</f>
        <v>23</v>
      </c>
      <c r="X29" s="6">
        <f>SUM($X$23:$X$28)</f>
        <v>20000</v>
      </c>
      <c r="Y29" s="7">
        <f>SUM($Y$23:$Y$28)</f>
        <v>20000</v>
      </c>
      <c r="Z29" s="7">
        <f>SUM($Z$23:$Z$28)</f>
        <v>20</v>
      </c>
      <c r="AA29" s="6">
        <f>SUM($AA$23:$AA$28)</f>
        <v>20000</v>
      </c>
      <c r="AB29" s="6">
        <f>SUM($AB$23:$AB$28)</f>
        <v>20000</v>
      </c>
      <c r="AC29" s="7">
        <f>SUM($AC$23:$AC$28)</f>
        <v>20</v>
      </c>
      <c r="AD29" s="7">
        <f>SUM($AD$23:$AD$28)</f>
        <v>20000</v>
      </c>
      <c r="AE29" s="6">
        <f>SUM($AE$23:$AE$28)</f>
        <v>20000</v>
      </c>
      <c r="AF29" s="6">
        <f>SUM($AF$23:$AF$28)</f>
        <v>20</v>
      </c>
      <c r="AG29" s="7">
        <f>SUM($AG$23:$AG$28)</f>
        <v>20000</v>
      </c>
      <c r="AH29" s="7">
        <f>SUM($AH$23:$AH$28)</f>
        <v>20000</v>
      </c>
      <c r="AI29" s="6">
        <f>SUM($AI$23:$AI$28)</f>
        <v>20</v>
      </c>
      <c r="AJ29" s="6">
        <f>SUM($AJ$23:$AJ$28)</f>
        <v>20000</v>
      </c>
      <c r="AK29" s="7">
        <f>SUM($AK$23:$AK$28)</f>
        <v>20000</v>
      </c>
      <c r="AL29" s="7">
        <f>SUM($AL$23:$AL$28)</f>
        <v>20</v>
      </c>
      <c r="AM29" s="6">
        <f>SUM($AM$23:$AM$28)</f>
        <v>20000</v>
      </c>
      <c r="AN29" s="6">
        <f>SUM($AN$23:$AN$28)</f>
        <v>20000</v>
      </c>
      <c r="AO29" s="7">
        <f>SUM($AO$23:$AO$28)</f>
        <v>20</v>
      </c>
      <c r="AP29" s="7">
        <f>SUM($AP$23:$AP$28)</f>
        <v>20000</v>
      </c>
      <c r="AQ29" s="6">
        <f>SUM($AQ$23:$AQ$28)</f>
        <v>20000</v>
      </c>
      <c r="AR29" s="6">
        <f>SUM($AR$23:$AR$28)</f>
        <v>20</v>
      </c>
      <c r="AS29" s="7">
        <f>SUM($AS$23:$AS$28)</f>
        <v>20000</v>
      </c>
      <c r="AT29" s="7">
        <f>SUM($AT$23:$AT$28)</f>
        <v>20000</v>
      </c>
      <c r="AU29" s="6">
        <f>SUM($AU$23:$AU$28)</f>
        <v>20</v>
      </c>
      <c r="AV29" s="6">
        <f>SUM($AV$23:$AV$28)</f>
        <v>20000</v>
      </c>
      <c r="AW29" s="7">
        <f>SUM($AW$23:$AW$28)</f>
        <v>20000</v>
      </c>
      <c r="AX29" s="7">
        <f>SUM($AX$23:$AX$28)</f>
        <v>20</v>
      </c>
      <c r="AY29" s="6">
        <f>SUM($AY$23:$AY$28)</f>
        <v>0</v>
      </c>
      <c r="AZ29" s="6">
        <f>SUM($AZ$23:$AZ$28)</f>
        <v>249000</v>
      </c>
      <c r="BA29" s="7">
        <f>SUM($BA$23:$BA$28)</f>
        <v>249000</v>
      </c>
      <c r="BB29" s="7">
        <f>SUM($BB$23:$BB$28)</f>
        <v>20.8</v>
      </c>
    </row>
    <row r="30" spans="1:107">
      <c r="A30" s="5"/>
      <c r="B30" s="5"/>
      <c r="C30" s="4"/>
      <c r="D30" s="4"/>
      <c r="E30" s="5"/>
      <c r="F30" s="5"/>
      <c r="G30" s="4"/>
      <c r="H30" s="4"/>
      <c r="I30" s="5"/>
      <c r="J30" s="5"/>
      <c r="K30" s="4"/>
      <c r="L30" s="4"/>
      <c r="M30" s="5"/>
      <c r="N30" s="5"/>
      <c r="O30" s="4"/>
      <c r="P30" s="4"/>
      <c r="Q30" s="5"/>
      <c r="R30" s="5"/>
      <c r="S30" s="4"/>
      <c r="T30" s="4"/>
      <c r="U30" s="5"/>
      <c r="V30" s="5"/>
      <c r="W30" s="4"/>
      <c r="X30" s="4"/>
      <c r="Y30" s="5"/>
      <c r="Z30" s="5"/>
      <c r="AA30" s="4"/>
      <c r="AB30" s="4"/>
      <c r="AC30" s="5"/>
      <c r="AD30" s="5"/>
      <c r="AE30" s="4"/>
      <c r="AF30" s="4"/>
      <c r="AG30" s="5"/>
      <c r="AH30" s="5"/>
      <c r="AI30" s="4"/>
      <c r="AJ30" s="4"/>
      <c r="AK30" s="5"/>
      <c r="AL30" s="5"/>
      <c r="AM30" s="4"/>
      <c r="AN30" s="4"/>
      <c r="AO30" s="5"/>
      <c r="AP30" s="5"/>
      <c r="AQ30" s="4"/>
      <c r="AR30" s="4"/>
      <c r="AS30" s="5"/>
      <c r="AT30" s="5"/>
      <c r="AU30" s="4"/>
      <c r="AV30" s="4"/>
      <c r="AW30" s="5"/>
      <c r="AX30" s="5"/>
      <c r="AY30" s="4"/>
      <c r="AZ30" s="4"/>
      <c r="BA30" s="5"/>
      <c r="BB30" s="5"/>
    </row>
    <row r="31" spans="1:107">
      <c r="A31" s="7" t="s">
        <v>133</v>
      </c>
      <c r="B31" s="7" t="s">
        <v>56</v>
      </c>
      <c r="C31" s="6" t="s">
        <v>57</v>
      </c>
      <c r="D31" s="6" t="s">
        <v>94</v>
      </c>
      <c r="E31" s="7" t="s">
        <v>69</v>
      </c>
      <c r="F31" s="7">
        <v>36617001</v>
      </c>
      <c r="G31" s="6">
        <v>5841813202</v>
      </c>
      <c r="H31" s="6" t="s">
        <v>60</v>
      </c>
      <c r="I31" s="7" t="s">
        <v>95</v>
      </c>
      <c r="J31" s="7" t="s">
        <v>73</v>
      </c>
      <c r="K31" s="6" t="s">
        <v>79</v>
      </c>
      <c r="L31" s="6" t="s">
        <v>74</v>
      </c>
      <c r="M31" s="7"/>
      <c r="N31" s="7" t="s">
        <v>69</v>
      </c>
      <c r="O31" s="6">
        <v>6000</v>
      </c>
      <c r="P31" s="6">
        <v>6000</v>
      </c>
      <c r="Q31" s="7">
        <v>6</v>
      </c>
      <c r="R31" s="7">
        <v>6000</v>
      </c>
      <c r="S31" s="6">
        <v>6000</v>
      </c>
      <c r="T31" s="6">
        <v>6</v>
      </c>
      <c r="U31" s="7">
        <v>6000</v>
      </c>
      <c r="V31" s="7">
        <v>6000</v>
      </c>
      <c r="W31" s="6">
        <v>6</v>
      </c>
      <c r="X31" s="6">
        <v>6000</v>
      </c>
      <c r="Y31" s="7">
        <v>6000</v>
      </c>
      <c r="Z31" s="7">
        <v>6</v>
      </c>
      <c r="AA31" s="6">
        <v>6000</v>
      </c>
      <c r="AB31" s="6">
        <v>6000</v>
      </c>
      <c r="AC31" s="7">
        <v>6</v>
      </c>
      <c r="AD31" s="7">
        <v>6000</v>
      </c>
      <c r="AE31" s="6">
        <v>6000</v>
      </c>
      <c r="AF31" s="6">
        <v>6</v>
      </c>
      <c r="AG31" s="7">
        <v>6000</v>
      </c>
      <c r="AH31" s="7">
        <v>6000</v>
      </c>
      <c r="AI31" s="6">
        <v>6</v>
      </c>
      <c r="AJ31" s="6">
        <v>6000</v>
      </c>
      <c r="AK31" s="7">
        <v>6000</v>
      </c>
      <c r="AL31" s="7">
        <v>6</v>
      </c>
      <c r="AM31" s="6">
        <v>6000</v>
      </c>
      <c r="AN31" s="6">
        <v>6000</v>
      </c>
      <c r="AO31" s="7">
        <v>6</v>
      </c>
      <c r="AP31" s="7">
        <v>6000</v>
      </c>
      <c r="AQ31" s="6">
        <v>6000</v>
      </c>
      <c r="AR31" s="6">
        <v>6</v>
      </c>
      <c r="AS31" s="7">
        <v>6000</v>
      </c>
      <c r="AT31" s="7">
        <v>6000</v>
      </c>
      <c r="AU31" s="6">
        <v>6</v>
      </c>
      <c r="AV31" s="6">
        <v>6000</v>
      </c>
      <c r="AW31" s="7">
        <v>6000</v>
      </c>
      <c r="AX31" s="7">
        <v>6</v>
      </c>
      <c r="AY31" s="6">
        <v>0</v>
      </c>
      <c r="AZ31" s="6">
        <v>72000</v>
      </c>
      <c r="BA31" s="7">
        <v>72000</v>
      </c>
      <c r="BB31" s="7">
        <v>6</v>
      </c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</row>
    <row r="32" spans="1:107">
      <c r="A32" s="5" t="s">
        <v>133</v>
      </c>
      <c r="B32" s="5" t="s">
        <v>56</v>
      </c>
      <c r="C32" s="4" t="s">
        <v>63</v>
      </c>
      <c r="D32" s="4" t="s">
        <v>112</v>
      </c>
      <c r="E32" s="5"/>
      <c r="F32" s="5" t="s">
        <v>113</v>
      </c>
      <c r="G32" s="4">
        <v>5841813202</v>
      </c>
      <c r="H32" s="4" t="s">
        <v>60</v>
      </c>
      <c r="I32" s="5" t="s">
        <v>113</v>
      </c>
      <c r="J32" s="5" t="s">
        <v>66</v>
      </c>
      <c r="K32" s="4" t="s">
        <v>67</v>
      </c>
      <c r="L32" s="4" t="s">
        <v>68</v>
      </c>
      <c r="M32" s="5"/>
      <c r="N32" s="5" t="s">
        <v>69</v>
      </c>
      <c r="O32" s="4">
        <v>3000</v>
      </c>
      <c r="P32" s="4">
        <v>3000</v>
      </c>
      <c r="Q32" s="5">
        <v>3</v>
      </c>
      <c r="R32" s="5">
        <v>3000</v>
      </c>
      <c r="S32" s="4">
        <v>3000</v>
      </c>
      <c r="T32" s="4">
        <v>3</v>
      </c>
      <c r="U32" s="5">
        <v>3000</v>
      </c>
      <c r="V32" s="5">
        <v>3000</v>
      </c>
      <c r="W32" s="4">
        <v>3</v>
      </c>
      <c r="X32" s="4">
        <v>3000</v>
      </c>
      <c r="Y32" s="5">
        <v>3000</v>
      </c>
      <c r="Z32" s="5">
        <v>3</v>
      </c>
      <c r="AA32" s="4">
        <v>3000</v>
      </c>
      <c r="AB32" s="4">
        <v>3000</v>
      </c>
      <c r="AC32" s="5">
        <v>3</v>
      </c>
      <c r="AD32" s="5">
        <v>3000</v>
      </c>
      <c r="AE32" s="4">
        <v>3000</v>
      </c>
      <c r="AF32" s="4">
        <v>3</v>
      </c>
      <c r="AG32" s="5">
        <v>3000</v>
      </c>
      <c r="AH32" s="5">
        <v>3000</v>
      </c>
      <c r="AI32" s="4">
        <v>3</v>
      </c>
      <c r="AJ32" s="4">
        <v>3000</v>
      </c>
      <c r="AK32" s="5">
        <v>3000</v>
      </c>
      <c r="AL32" s="5">
        <v>3</v>
      </c>
      <c r="AM32" s="4">
        <v>3000</v>
      </c>
      <c r="AN32" s="4">
        <v>3000</v>
      </c>
      <c r="AO32" s="5">
        <v>3</v>
      </c>
      <c r="AP32" s="5">
        <v>3000</v>
      </c>
      <c r="AQ32" s="4">
        <v>3000</v>
      </c>
      <c r="AR32" s="4">
        <v>3</v>
      </c>
      <c r="AS32" s="5">
        <v>3000</v>
      </c>
      <c r="AT32" s="5">
        <v>3000</v>
      </c>
      <c r="AU32" s="4">
        <v>3</v>
      </c>
      <c r="AV32" s="4">
        <v>3000</v>
      </c>
      <c r="AW32" s="5">
        <v>3000</v>
      </c>
      <c r="AX32" s="5">
        <v>3</v>
      </c>
      <c r="AY32" s="4">
        <v>0</v>
      </c>
      <c r="AZ32" s="4">
        <v>36000</v>
      </c>
      <c r="BA32" s="5">
        <v>36000</v>
      </c>
      <c r="BB32" s="5">
        <v>3</v>
      </c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6"/>
      <c r="CN32" s="6"/>
      <c r="CO32" s="6"/>
      <c r="CP32" s="6"/>
      <c r="CQ32" s="6"/>
      <c r="CR32" s="6"/>
      <c r="CS32" s="6"/>
      <c r="CT32" s="6"/>
      <c r="CU32" s="6"/>
      <c r="CV32" s="6"/>
      <c r="CW32" s="6"/>
      <c r="CX32" s="6"/>
      <c r="CY32" s="6"/>
      <c r="CZ32" s="6"/>
      <c r="DA32" s="6"/>
      <c r="DB32" s="6"/>
      <c r="DC32" s="6"/>
    </row>
    <row r="33" spans="1:107">
      <c r="A33" s="7" t="s">
        <v>133</v>
      </c>
      <c r="B33" s="7" t="s">
        <v>56</v>
      </c>
      <c r="C33" s="6" t="s">
        <v>116</v>
      </c>
      <c r="D33" s="6" t="s">
        <v>117</v>
      </c>
      <c r="E33" s="7"/>
      <c r="F33" s="7">
        <v>365477</v>
      </c>
      <c r="G33" s="6">
        <v>5841813202</v>
      </c>
      <c r="H33" s="6" t="s">
        <v>60</v>
      </c>
      <c r="I33" s="7" t="s">
        <v>118</v>
      </c>
      <c r="J33" s="7" t="s">
        <v>73</v>
      </c>
      <c r="K33" s="6" t="s">
        <v>67</v>
      </c>
      <c r="L33" s="6" t="s">
        <v>74</v>
      </c>
      <c r="M33" s="7"/>
      <c r="N33" s="7" t="s">
        <v>69</v>
      </c>
      <c r="O33" s="6">
        <v>5000</v>
      </c>
      <c r="P33" s="6">
        <v>5000</v>
      </c>
      <c r="Q33" s="7">
        <v>5</v>
      </c>
      <c r="R33" s="7">
        <v>5000</v>
      </c>
      <c r="S33" s="6">
        <v>5000</v>
      </c>
      <c r="T33" s="6">
        <v>5</v>
      </c>
      <c r="U33" s="7">
        <v>5000</v>
      </c>
      <c r="V33" s="7">
        <v>5000</v>
      </c>
      <c r="W33" s="6">
        <v>5</v>
      </c>
      <c r="X33" s="6">
        <v>5000</v>
      </c>
      <c r="Y33" s="7">
        <v>5000</v>
      </c>
      <c r="Z33" s="7">
        <v>5</v>
      </c>
      <c r="AA33" s="6">
        <v>5000</v>
      </c>
      <c r="AB33" s="6">
        <v>5000</v>
      </c>
      <c r="AC33" s="7">
        <v>5</v>
      </c>
      <c r="AD33" s="7">
        <v>5000</v>
      </c>
      <c r="AE33" s="6">
        <v>5000</v>
      </c>
      <c r="AF33" s="6">
        <v>5</v>
      </c>
      <c r="AG33" s="7">
        <v>5000</v>
      </c>
      <c r="AH33" s="7">
        <v>5000</v>
      </c>
      <c r="AI33" s="6">
        <v>5</v>
      </c>
      <c r="AJ33" s="6">
        <v>5000</v>
      </c>
      <c r="AK33" s="7">
        <v>5000</v>
      </c>
      <c r="AL33" s="7">
        <v>5</v>
      </c>
      <c r="AM33" s="6">
        <v>5000</v>
      </c>
      <c r="AN33" s="6">
        <v>5000</v>
      </c>
      <c r="AO33" s="7">
        <v>5</v>
      </c>
      <c r="AP33" s="7">
        <v>5000</v>
      </c>
      <c r="AQ33" s="6">
        <v>5000</v>
      </c>
      <c r="AR33" s="6">
        <v>5</v>
      </c>
      <c r="AS33" s="7">
        <v>5000</v>
      </c>
      <c r="AT33" s="7">
        <v>5000</v>
      </c>
      <c r="AU33" s="6">
        <v>5</v>
      </c>
      <c r="AV33" s="6">
        <v>5000</v>
      </c>
      <c r="AW33" s="7">
        <v>5000</v>
      </c>
      <c r="AX33" s="7">
        <v>5</v>
      </c>
      <c r="AY33" s="6">
        <v>0</v>
      </c>
      <c r="AZ33" s="6">
        <v>60000</v>
      </c>
      <c r="BA33" s="7">
        <v>60000</v>
      </c>
      <c r="BB33" s="7">
        <v>5</v>
      </c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</row>
    <row r="34" spans="1:107">
      <c r="A34" s="5" t="s">
        <v>55</v>
      </c>
      <c r="B34" s="5" t="s">
        <v>56</v>
      </c>
      <c r="C34" s="4" t="s">
        <v>119</v>
      </c>
      <c r="D34" s="4" t="s">
        <v>120</v>
      </c>
      <c r="E34" s="5"/>
      <c r="F34" s="5" t="s">
        <v>121</v>
      </c>
      <c r="G34" s="4">
        <v>5841813202</v>
      </c>
      <c r="H34" s="4" t="s">
        <v>60</v>
      </c>
      <c r="I34" s="5" t="s">
        <v>121</v>
      </c>
      <c r="J34" s="5" t="s">
        <v>66</v>
      </c>
      <c r="K34" s="4" t="s">
        <v>67</v>
      </c>
      <c r="L34" s="4" t="s">
        <v>74</v>
      </c>
      <c r="M34" s="5"/>
      <c r="N34" s="5" t="s">
        <v>69</v>
      </c>
      <c r="O34" s="4">
        <v>4000</v>
      </c>
      <c r="P34" s="4">
        <v>4000</v>
      </c>
      <c r="Q34" s="5">
        <v>4</v>
      </c>
      <c r="R34" s="5">
        <v>4000</v>
      </c>
      <c r="S34" s="4">
        <v>4000</v>
      </c>
      <c r="T34" s="4">
        <v>4</v>
      </c>
      <c r="U34" s="5">
        <v>4000</v>
      </c>
      <c r="V34" s="5">
        <v>4000</v>
      </c>
      <c r="W34" s="4">
        <v>4</v>
      </c>
      <c r="X34" s="4">
        <v>4000</v>
      </c>
      <c r="Y34" s="5">
        <v>4000</v>
      </c>
      <c r="Z34" s="5">
        <v>4</v>
      </c>
      <c r="AA34" s="4">
        <v>4000</v>
      </c>
      <c r="AB34" s="4">
        <v>4000</v>
      </c>
      <c r="AC34" s="5">
        <v>4</v>
      </c>
      <c r="AD34" s="5">
        <v>4000</v>
      </c>
      <c r="AE34" s="4">
        <v>4000</v>
      </c>
      <c r="AF34" s="4">
        <v>4</v>
      </c>
      <c r="AG34" s="5">
        <v>4000</v>
      </c>
      <c r="AH34" s="5">
        <v>4000</v>
      </c>
      <c r="AI34" s="4">
        <v>4</v>
      </c>
      <c r="AJ34" s="4">
        <v>4000</v>
      </c>
      <c r="AK34" s="5">
        <v>4000</v>
      </c>
      <c r="AL34" s="5">
        <v>4</v>
      </c>
      <c r="AM34" s="4">
        <v>4000</v>
      </c>
      <c r="AN34" s="4">
        <v>4000</v>
      </c>
      <c r="AO34" s="5">
        <v>4</v>
      </c>
      <c r="AP34" s="5">
        <v>4000</v>
      </c>
      <c r="AQ34" s="4">
        <v>4000</v>
      </c>
      <c r="AR34" s="4">
        <v>4</v>
      </c>
      <c r="AS34" s="5">
        <v>4000</v>
      </c>
      <c r="AT34" s="5">
        <v>4000</v>
      </c>
      <c r="AU34" s="4">
        <v>4</v>
      </c>
      <c r="AV34" s="4">
        <v>4000</v>
      </c>
      <c r="AW34" s="5">
        <v>4000</v>
      </c>
      <c r="AX34" s="5">
        <v>4</v>
      </c>
      <c r="AY34" s="4">
        <v>0</v>
      </c>
      <c r="AZ34" s="4">
        <v>48000</v>
      </c>
      <c r="BA34" s="5">
        <v>48000</v>
      </c>
      <c r="BB34" s="5">
        <v>4</v>
      </c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</row>
    <row r="35" spans="1:107">
      <c r="A35" s="7" t="s">
        <v>133</v>
      </c>
      <c r="B35" s="7" t="s">
        <v>56</v>
      </c>
      <c r="C35" s="6" t="s">
        <v>63</v>
      </c>
      <c r="D35" s="6" t="s">
        <v>114</v>
      </c>
      <c r="E35" s="7"/>
      <c r="F35" s="7">
        <v>129855</v>
      </c>
      <c r="G35" s="6">
        <v>5841813202</v>
      </c>
      <c r="H35" s="6" t="s">
        <v>60</v>
      </c>
      <c r="I35" s="7" t="s">
        <v>115</v>
      </c>
      <c r="J35" s="7" t="s">
        <v>73</v>
      </c>
      <c r="K35" s="6" t="s">
        <v>67</v>
      </c>
      <c r="L35" s="6" t="s">
        <v>74</v>
      </c>
      <c r="M35" s="7"/>
      <c r="N35" s="7" t="s">
        <v>69</v>
      </c>
      <c r="O35" s="6">
        <v>3000</v>
      </c>
      <c r="P35" s="6">
        <v>3000</v>
      </c>
      <c r="Q35" s="7">
        <v>3</v>
      </c>
      <c r="R35" s="7">
        <v>3000</v>
      </c>
      <c r="S35" s="6">
        <v>3000</v>
      </c>
      <c r="T35" s="6">
        <v>3</v>
      </c>
      <c r="U35" s="7">
        <v>3000</v>
      </c>
      <c r="V35" s="7">
        <v>3000</v>
      </c>
      <c r="W35" s="6">
        <v>3</v>
      </c>
      <c r="X35" s="6">
        <v>3000</v>
      </c>
      <c r="Y35" s="7">
        <v>3000</v>
      </c>
      <c r="Z35" s="7">
        <v>3</v>
      </c>
      <c r="AA35" s="6">
        <v>3000</v>
      </c>
      <c r="AB35" s="6">
        <v>3000</v>
      </c>
      <c r="AC35" s="7">
        <v>3</v>
      </c>
      <c r="AD35" s="7">
        <v>3000</v>
      </c>
      <c r="AE35" s="6">
        <v>3000</v>
      </c>
      <c r="AF35" s="6">
        <v>3</v>
      </c>
      <c r="AG35" s="7">
        <v>3000</v>
      </c>
      <c r="AH35" s="7">
        <v>3000</v>
      </c>
      <c r="AI35" s="6">
        <v>3</v>
      </c>
      <c r="AJ35" s="6">
        <v>3000</v>
      </c>
      <c r="AK35" s="7">
        <v>3000</v>
      </c>
      <c r="AL35" s="7">
        <v>3</v>
      </c>
      <c r="AM35" s="6">
        <v>3000</v>
      </c>
      <c r="AN35" s="6">
        <v>3000</v>
      </c>
      <c r="AO35" s="7">
        <v>3</v>
      </c>
      <c r="AP35" s="7">
        <v>3000</v>
      </c>
      <c r="AQ35" s="6">
        <v>3000</v>
      </c>
      <c r="AR35" s="6">
        <v>3</v>
      </c>
      <c r="AS35" s="7">
        <v>3000</v>
      </c>
      <c r="AT35" s="7">
        <v>3000</v>
      </c>
      <c r="AU35" s="6">
        <v>3</v>
      </c>
      <c r="AV35" s="6">
        <v>3000</v>
      </c>
      <c r="AW35" s="7">
        <v>3000</v>
      </c>
      <c r="AX35" s="7">
        <v>3</v>
      </c>
      <c r="AY35" s="6">
        <v>0</v>
      </c>
      <c r="AZ35" s="6">
        <v>36000</v>
      </c>
      <c r="BA35" s="7">
        <v>36000</v>
      </c>
      <c r="BB35" s="7">
        <v>3</v>
      </c>
      <c r="BC35" s="6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</row>
    <row r="36" spans="1:107">
      <c r="A36" s="5"/>
      <c r="B36" s="5" t="s">
        <v>136</v>
      </c>
      <c r="C36" s="4"/>
      <c r="D36" s="4"/>
      <c r="E36" s="5"/>
      <c r="F36" s="5"/>
      <c r="G36" s="4"/>
      <c r="H36" s="4"/>
      <c r="I36" s="5"/>
      <c r="J36" s="5"/>
      <c r="K36" s="4"/>
      <c r="L36" s="4"/>
      <c r="M36" s="5"/>
      <c r="N36" s="5"/>
      <c r="O36" s="4">
        <f>SUM($O$31:$O$35)</f>
        <v>21000</v>
      </c>
      <c r="P36" s="4">
        <f>SUM($P$31:$P$35)</f>
        <v>21000</v>
      </c>
      <c r="Q36" s="5">
        <f>SUM($Q$31:$Q$35)</f>
        <v>21</v>
      </c>
      <c r="R36" s="5">
        <f>SUM($R$31:$R$35)</f>
        <v>21000</v>
      </c>
      <c r="S36" s="4">
        <f>SUM($S$31:$S$35)</f>
        <v>21000</v>
      </c>
      <c r="T36" s="4">
        <f>SUM($T$31:$T$35)</f>
        <v>21</v>
      </c>
      <c r="U36" s="5">
        <f>SUM($U$31:$U$35)</f>
        <v>21000</v>
      </c>
      <c r="V36" s="5">
        <f>SUM($V$31:$V$35)</f>
        <v>21000</v>
      </c>
      <c r="W36" s="4">
        <f>SUM($W$31:$W$35)</f>
        <v>21</v>
      </c>
      <c r="X36" s="4">
        <f>SUM($X$31:$X$35)</f>
        <v>21000</v>
      </c>
      <c r="Y36" s="5">
        <f>SUM($Y$31:$Y$35)</f>
        <v>21000</v>
      </c>
      <c r="Z36" s="5">
        <f>SUM($Z$31:$Z$35)</f>
        <v>21</v>
      </c>
      <c r="AA36" s="4">
        <f>SUM($AA$31:$AA$35)</f>
        <v>21000</v>
      </c>
      <c r="AB36" s="4">
        <f>SUM($AB$31:$AB$35)</f>
        <v>21000</v>
      </c>
      <c r="AC36" s="5">
        <f>SUM($AC$31:$AC$35)</f>
        <v>21</v>
      </c>
      <c r="AD36" s="5">
        <f>SUM($AD$31:$AD$35)</f>
        <v>21000</v>
      </c>
      <c r="AE36" s="4">
        <f>SUM($AE$31:$AE$35)</f>
        <v>21000</v>
      </c>
      <c r="AF36" s="4">
        <f>SUM($AF$31:$AF$35)</f>
        <v>21</v>
      </c>
      <c r="AG36" s="5">
        <f>SUM($AG$31:$AG$35)</f>
        <v>21000</v>
      </c>
      <c r="AH36" s="5">
        <f>SUM($AH$31:$AH$35)</f>
        <v>21000</v>
      </c>
      <c r="AI36" s="4">
        <f>SUM($AI$31:$AI$35)</f>
        <v>21</v>
      </c>
      <c r="AJ36" s="4">
        <f>SUM($AJ$31:$AJ$35)</f>
        <v>21000</v>
      </c>
      <c r="AK36" s="5">
        <f>SUM($AK$31:$AK$35)</f>
        <v>21000</v>
      </c>
      <c r="AL36" s="5">
        <f>SUM($AL$31:$AL$35)</f>
        <v>21</v>
      </c>
      <c r="AM36" s="4">
        <f>SUM($AM$31:$AM$35)</f>
        <v>21000</v>
      </c>
      <c r="AN36" s="4">
        <f>SUM($AN$31:$AN$35)</f>
        <v>21000</v>
      </c>
      <c r="AO36" s="5">
        <f>SUM($AO$31:$AO$35)</f>
        <v>21</v>
      </c>
      <c r="AP36" s="5">
        <f>SUM($AP$31:$AP$35)</f>
        <v>21000</v>
      </c>
      <c r="AQ36" s="4">
        <f>SUM($AQ$31:$AQ$35)</f>
        <v>21000</v>
      </c>
      <c r="AR36" s="4">
        <f>SUM($AR$31:$AR$35)</f>
        <v>21</v>
      </c>
      <c r="AS36" s="5">
        <f>SUM($AS$31:$AS$35)</f>
        <v>21000</v>
      </c>
      <c r="AT36" s="5">
        <f>SUM($AT$31:$AT$35)</f>
        <v>21000</v>
      </c>
      <c r="AU36" s="4">
        <f>SUM($AU$31:$AU$35)</f>
        <v>21</v>
      </c>
      <c r="AV36" s="4">
        <f>SUM($AV$31:$AV$35)</f>
        <v>21000</v>
      </c>
      <c r="AW36" s="5">
        <f>SUM($AW$31:$AW$35)</f>
        <v>21000</v>
      </c>
      <c r="AX36" s="5">
        <f>SUM($AX$31:$AX$35)</f>
        <v>21</v>
      </c>
      <c r="AY36" s="4">
        <f>SUM($AY$31:$AY$35)</f>
        <v>0</v>
      </c>
      <c r="AZ36" s="4">
        <f>SUM($AZ$31:$AZ$35)</f>
        <v>252000</v>
      </c>
      <c r="BA36" s="5">
        <f>SUM($BA$31:$BA$35)</f>
        <v>252000</v>
      </c>
      <c r="BB36" s="5">
        <f>SUM($BB$31:$BB$35)</f>
        <v>21</v>
      </c>
      <c r="BC36" s="18"/>
      <c r="BD36" s="18"/>
      <c r="BE36" s="18"/>
      <c r="BF36" s="18"/>
      <c r="BG36" s="18"/>
      <c r="BH36" s="18"/>
      <c r="BI36" s="18">
        <v>0</v>
      </c>
      <c r="BJ36" s="18"/>
      <c r="BK36" s="18"/>
      <c r="BL36" s="18"/>
      <c r="BM36" s="18"/>
      <c r="BN36" s="18"/>
      <c r="BO36" s="18"/>
      <c r="BP36" s="18"/>
      <c r="BQ36" s="18"/>
      <c r="BR36" s="18"/>
      <c r="BS36" s="18"/>
      <c r="BT36" s="18"/>
      <c r="BU36" s="18"/>
      <c r="BV36" s="18"/>
      <c r="BW36" s="18"/>
      <c r="BX36" s="18"/>
      <c r="BY36" s="18"/>
      <c r="BZ36" s="18"/>
      <c r="CA36" s="18"/>
      <c r="CB36" s="18"/>
      <c r="CC36" s="18"/>
      <c r="CD36" s="18"/>
      <c r="CE36" s="18"/>
      <c r="CF36" s="18"/>
      <c r="CG36" s="18"/>
      <c r="CH36" s="18"/>
      <c r="CI36" s="18"/>
      <c r="CJ36" s="18"/>
      <c r="CK36" s="18"/>
      <c r="CL36" s="18"/>
      <c r="CM36" s="18"/>
      <c r="CN36" s="18"/>
      <c r="CO36" s="18"/>
      <c r="CP36" s="19"/>
      <c r="CQ36" s="18"/>
      <c r="CR36" s="18"/>
      <c r="CS36" s="18"/>
      <c r="CT36" s="18"/>
      <c r="CU36" s="18"/>
      <c r="CV36" s="18"/>
      <c r="CW36" s="18"/>
      <c r="CX36" s="18"/>
      <c r="CY36" s="18"/>
      <c r="CZ36" s="18"/>
      <c r="DA36" s="18"/>
      <c r="DB36" s="18"/>
      <c r="DC36" s="18"/>
    </row>
    <row r="37" spans="1:107">
      <c r="A37" s="7"/>
      <c r="B37" s="7"/>
      <c r="C37" s="6"/>
      <c r="D37" s="6"/>
      <c r="E37" s="7"/>
      <c r="F37" s="7"/>
      <c r="G37" s="6"/>
      <c r="H37" s="6"/>
      <c r="I37" s="7"/>
      <c r="J37" s="7"/>
      <c r="K37" s="6"/>
      <c r="L37" s="6"/>
      <c r="M37" s="7"/>
      <c r="N37" s="7"/>
      <c r="O37" s="6"/>
      <c r="P37" s="6"/>
      <c r="Q37" s="7"/>
      <c r="R37" s="7"/>
      <c r="S37" s="6"/>
      <c r="T37" s="6"/>
      <c r="U37" s="7"/>
      <c r="V37" s="7"/>
      <c r="W37" s="6"/>
      <c r="X37" s="6"/>
      <c r="Y37" s="7"/>
      <c r="Z37" s="7"/>
      <c r="AA37" s="6"/>
      <c r="AB37" s="6"/>
      <c r="AC37" s="7"/>
      <c r="AD37" s="7"/>
      <c r="AE37" s="6"/>
      <c r="AF37" s="6"/>
      <c r="AG37" s="7"/>
      <c r="AH37" s="7"/>
      <c r="AI37" s="6"/>
      <c r="AJ37" s="6"/>
      <c r="AK37" s="7"/>
      <c r="AL37" s="7"/>
      <c r="AM37" s="6"/>
      <c r="AN37" s="6"/>
      <c r="AO37" s="7"/>
      <c r="AP37" s="7"/>
      <c r="AQ37" s="6"/>
      <c r="AR37" s="6"/>
      <c r="AS37" s="7"/>
      <c r="AT37" s="7"/>
      <c r="AU37" s="6"/>
      <c r="AV37" s="6"/>
      <c r="AW37" s="7"/>
      <c r="AX37" s="7"/>
      <c r="AY37" s="6"/>
      <c r="AZ37" s="6"/>
      <c r="BA37" s="7"/>
      <c r="BB37" s="7"/>
      <c r="BC37" s="18"/>
      <c r="BD37" s="18"/>
      <c r="BE37" s="18"/>
      <c r="BF37" s="18"/>
      <c r="BG37" s="18"/>
      <c r="BH37" s="18"/>
      <c r="BI37" s="18"/>
      <c r="BJ37" s="18"/>
      <c r="BK37" s="18"/>
      <c r="BL37" s="18"/>
      <c r="BM37" s="18"/>
      <c r="BN37" s="18"/>
      <c r="BO37" s="18"/>
      <c r="BP37" s="18"/>
      <c r="BQ37" s="18"/>
      <c r="BR37" s="18"/>
      <c r="BS37" s="18"/>
      <c r="BT37" s="18"/>
      <c r="BU37" s="18"/>
      <c r="BV37" s="18"/>
      <c r="BW37" s="18"/>
      <c r="BX37" s="18"/>
      <c r="BY37" s="18"/>
      <c r="BZ37" s="18"/>
      <c r="CA37" s="18"/>
      <c r="CB37" s="18"/>
      <c r="CC37" s="18"/>
      <c r="CD37" s="18"/>
      <c r="CE37" s="18"/>
      <c r="CF37" s="18"/>
      <c r="CG37" s="18"/>
      <c r="CH37" s="18"/>
      <c r="CI37" s="18"/>
      <c r="CJ37" s="18"/>
      <c r="CK37" s="18"/>
      <c r="CL37" s="18"/>
      <c r="CM37" s="18"/>
      <c r="CN37" s="18"/>
      <c r="CO37" s="18"/>
      <c r="CP37" s="19"/>
      <c r="CQ37" s="18"/>
      <c r="CR37" s="18"/>
      <c r="CS37" s="18"/>
      <c r="CT37" s="18"/>
      <c r="CU37" s="18"/>
      <c r="CV37" s="18"/>
      <c r="CW37" s="18"/>
      <c r="CX37" s="18"/>
      <c r="CY37" s="18"/>
      <c r="CZ37" s="18"/>
      <c r="DA37" s="18"/>
      <c r="DB37" s="18"/>
      <c r="DC37" s="18"/>
    </row>
  </sheetData>
  <mergeCells count="1">
    <mergeCell ref="A1:BC1"/>
  </mergeCells>
  <phoneticPr fontId="2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6D526-40A4-436F-8D8C-393BF251F402}">
  <sheetPr codeName="Sheet2"/>
  <dimension ref="A1:BC33"/>
  <sheetViews>
    <sheetView showGridLines="0" workbookViewId="0">
      <selection activeCell="D18" sqref="D18"/>
    </sheetView>
  </sheetViews>
  <sheetFormatPr defaultColWidth="8.83203125" defaultRowHeight="14"/>
  <cols>
    <col min="1" max="1" width="5.1640625" bestFit="1" customWidth="1"/>
    <col min="2" max="2" width="6.83203125" bestFit="1" customWidth="1"/>
    <col min="3" max="3" width="5.1640625" bestFit="1" customWidth="1"/>
    <col min="4" max="4" width="15.6640625" bestFit="1" customWidth="1"/>
    <col min="5" max="5" width="13.5" bestFit="1" customWidth="1"/>
    <col min="6" max="7" width="17" bestFit="1" customWidth="1"/>
    <col min="8" max="8" width="10.83203125" bestFit="1" customWidth="1"/>
    <col min="9" max="9" width="17" bestFit="1" customWidth="1"/>
    <col min="10" max="10" width="12.5" bestFit="1" customWidth="1"/>
    <col min="11" max="11" width="11.5" bestFit="1" customWidth="1"/>
    <col min="12" max="12" width="10.6640625" bestFit="1" customWidth="1"/>
    <col min="13" max="13" width="4" bestFit="1" customWidth="1"/>
    <col min="14" max="14" width="9.33203125" bestFit="1" customWidth="1"/>
    <col min="15" max="15" width="12.1640625" bestFit="1" customWidth="1"/>
    <col min="16" max="16" width="9.83203125" bestFit="1" customWidth="1"/>
    <col min="17" max="17" width="6.5" bestFit="1" customWidth="1"/>
    <col min="18" max="19" width="9.83203125" bestFit="1" customWidth="1"/>
    <col min="20" max="20" width="6.5" bestFit="1" customWidth="1"/>
    <col min="21" max="22" width="9.83203125" bestFit="1" customWidth="1"/>
    <col min="23" max="23" width="6.5" bestFit="1" customWidth="1"/>
    <col min="24" max="25" width="9.83203125" bestFit="1" customWidth="1"/>
    <col min="26" max="26" width="7.33203125" bestFit="1" customWidth="1"/>
    <col min="27" max="28" width="9.83203125" bestFit="1" customWidth="1"/>
    <col min="29" max="29" width="7.33203125" bestFit="1" customWidth="1"/>
    <col min="30" max="31" width="9.83203125" bestFit="1" customWidth="1"/>
    <col min="32" max="32" width="7.33203125" bestFit="1" customWidth="1"/>
    <col min="33" max="34" width="9.83203125" bestFit="1" customWidth="1"/>
    <col min="35" max="35" width="6.33203125" bestFit="1" customWidth="1"/>
    <col min="36" max="37" width="9.83203125" bestFit="1" customWidth="1"/>
    <col min="38" max="38" width="6.33203125" bestFit="1" customWidth="1"/>
    <col min="39" max="40" width="9.83203125" bestFit="1" customWidth="1"/>
    <col min="41" max="41" width="6.33203125" bestFit="1" customWidth="1"/>
    <col min="42" max="43" width="9.83203125" bestFit="1" customWidth="1"/>
    <col min="44" max="44" width="6.33203125" bestFit="1" customWidth="1"/>
    <col min="45" max="46" width="9.83203125" bestFit="1" customWidth="1"/>
    <col min="47" max="47" width="6.33203125" bestFit="1" customWidth="1"/>
    <col min="48" max="49" width="9.83203125" bestFit="1" customWidth="1"/>
    <col min="50" max="50" width="6.33203125" bestFit="1" customWidth="1"/>
    <col min="51" max="51" width="9.33203125" bestFit="1" customWidth="1"/>
    <col min="52" max="53" width="13.5" bestFit="1" customWidth="1"/>
    <col min="54" max="54" width="9.5" bestFit="1" customWidth="1"/>
  </cols>
  <sheetData>
    <row r="1" spans="1:55" s="1" customFormat="1">
      <c r="A1" s="29" t="s">
        <v>0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N1" s="29"/>
      <c r="AO1" s="29"/>
      <c r="AP1" s="29"/>
      <c r="AQ1" s="29"/>
      <c r="AR1" s="29"/>
      <c r="AS1" s="29"/>
      <c r="AT1" s="29"/>
      <c r="AU1" s="29"/>
      <c r="AV1" s="29"/>
      <c r="AW1" s="29"/>
      <c r="AX1" s="29"/>
      <c r="AY1" s="29"/>
      <c r="AZ1" s="29"/>
      <c r="BA1" s="29"/>
      <c r="BB1" s="29"/>
      <c r="BC1" s="29"/>
    </row>
    <row r="2" spans="1:55" s="1" customFormat="1">
      <c r="A2" s="2" t="s">
        <v>1</v>
      </c>
      <c r="B2" s="2" t="s">
        <v>2</v>
      </c>
      <c r="C2" s="2" t="s">
        <v>3</v>
      </c>
      <c r="D2" s="2" t="s">
        <v>4</v>
      </c>
      <c r="E2" s="2" t="s">
        <v>5</v>
      </c>
      <c r="F2" s="2" t="s">
        <v>6</v>
      </c>
      <c r="G2" s="2" t="s">
        <v>7</v>
      </c>
      <c r="H2" s="2" t="s">
        <v>8</v>
      </c>
      <c r="I2" s="2" t="s">
        <v>9</v>
      </c>
      <c r="J2" s="2" t="s">
        <v>10</v>
      </c>
      <c r="K2" s="2" t="s">
        <v>11</v>
      </c>
      <c r="L2" s="2" t="s">
        <v>12</v>
      </c>
      <c r="M2" s="2" t="s">
        <v>13</v>
      </c>
      <c r="N2" s="2" t="s">
        <v>14</v>
      </c>
      <c r="O2" s="3" t="s">
        <v>15</v>
      </c>
      <c r="P2" s="3" t="s">
        <v>16</v>
      </c>
      <c r="Q2" s="3" t="s">
        <v>17</v>
      </c>
      <c r="R2" s="3" t="s">
        <v>18</v>
      </c>
      <c r="S2" s="3" t="s">
        <v>19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24</v>
      </c>
      <c r="Y2" s="3" t="s">
        <v>25</v>
      </c>
      <c r="Z2" s="3" t="s">
        <v>26</v>
      </c>
      <c r="AA2" s="3" t="s">
        <v>27</v>
      </c>
      <c r="AB2" s="3" t="s">
        <v>28</v>
      </c>
      <c r="AC2" s="3" t="s">
        <v>29</v>
      </c>
      <c r="AD2" s="3" t="s">
        <v>30</v>
      </c>
      <c r="AE2" s="3" t="s">
        <v>31</v>
      </c>
      <c r="AF2" s="3" t="s">
        <v>32</v>
      </c>
      <c r="AG2" s="3" t="s">
        <v>33</v>
      </c>
      <c r="AH2" s="3" t="s">
        <v>34</v>
      </c>
      <c r="AI2" s="3" t="s">
        <v>35</v>
      </c>
      <c r="AJ2" s="3" t="s">
        <v>36</v>
      </c>
      <c r="AK2" s="3" t="s">
        <v>37</v>
      </c>
      <c r="AL2" s="3" t="s">
        <v>38</v>
      </c>
      <c r="AM2" s="3" t="s">
        <v>39</v>
      </c>
      <c r="AN2" s="3" t="s">
        <v>40</v>
      </c>
      <c r="AO2" s="3" t="s">
        <v>41</v>
      </c>
      <c r="AP2" s="3" t="s">
        <v>42</v>
      </c>
      <c r="AQ2" s="3" t="s">
        <v>43</v>
      </c>
      <c r="AR2" s="3" t="s">
        <v>44</v>
      </c>
      <c r="AS2" s="3" t="s">
        <v>45</v>
      </c>
      <c r="AT2" s="3" t="s">
        <v>46</v>
      </c>
      <c r="AU2" s="3" t="s">
        <v>47</v>
      </c>
      <c r="AV2" s="3" t="s">
        <v>48</v>
      </c>
      <c r="AW2" s="3" t="s">
        <v>49</v>
      </c>
      <c r="AX2" s="3" t="s">
        <v>50</v>
      </c>
      <c r="AY2" s="3" t="s">
        <v>51</v>
      </c>
      <c r="AZ2" s="3" t="s">
        <v>52</v>
      </c>
      <c r="BA2" s="3" t="s">
        <v>53</v>
      </c>
      <c r="BB2" s="3" t="s">
        <v>54</v>
      </c>
    </row>
    <row r="3" spans="1:55" s="4" customFormat="1">
      <c r="A3" s="5" t="s">
        <v>55</v>
      </c>
      <c r="B3" s="5" t="s">
        <v>56</v>
      </c>
      <c r="C3" s="5" t="s">
        <v>57</v>
      </c>
      <c r="D3" s="5" t="s">
        <v>58</v>
      </c>
      <c r="E3" s="5"/>
      <c r="F3" s="5" t="s">
        <v>59</v>
      </c>
      <c r="G3" s="5" t="s">
        <v>59</v>
      </c>
      <c r="H3" s="5" t="s">
        <v>60</v>
      </c>
      <c r="I3" s="5" t="s">
        <v>59</v>
      </c>
      <c r="J3" s="5" t="s">
        <v>61</v>
      </c>
      <c r="K3" s="5" t="s">
        <v>61</v>
      </c>
      <c r="L3" s="5" t="s">
        <v>61</v>
      </c>
      <c r="M3" s="5"/>
      <c r="N3" s="5" t="s">
        <v>62</v>
      </c>
      <c r="O3" s="11">
        <f>Q3*1000</f>
        <v>2000</v>
      </c>
      <c r="P3" s="11">
        <f>Q3*1000</f>
        <v>2000</v>
      </c>
      <c r="Q3" s="5">
        <v>2</v>
      </c>
      <c r="R3" s="11">
        <f>T3*1000</f>
        <v>2000</v>
      </c>
      <c r="S3" s="11">
        <f>T3*1000</f>
        <v>2000</v>
      </c>
      <c r="T3" s="5">
        <v>2</v>
      </c>
      <c r="U3" s="11">
        <f>W3*1000</f>
        <v>2000</v>
      </c>
      <c r="V3" s="11">
        <f>W3*1000</f>
        <v>2000</v>
      </c>
      <c r="W3" s="5">
        <v>2</v>
      </c>
      <c r="X3" s="11">
        <f>Z3*1000</f>
        <v>2000</v>
      </c>
      <c r="Y3" s="11">
        <f>Z3*1000</f>
        <v>2000</v>
      </c>
      <c r="Z3" s="5">
        <v>2</v>
      </c>
      <c r="AA3" s="11">
        <f>AC3*1000</f>
        <v>2000</v>
      </c>
      <c r="AB3" s="11">
        <f>AC3*1000</f>
        <v>2000</v>
      </c>
      <c r="AC3" s="5">
        <v>2</v>
      </c>
      <c r="AD3" s="11">
        <f>AF3*1000</f>
        <v>2000</v>
      </c>
      <c r="AE3" s="11">
        <f>AF3*1000</f>
        <v>2000</v>
      </c>
      <c r="AF3" s="5">
        <v>2</v>
      </c>
      <c r="AG3" s="11">
        <f>AI3*1000</f>
        <v>2000</v>
      </c>
      <c r="AH3" s="11">
        <f>AI3*1000</f>
        <v>2000</v>
      </c>
      <c r="AI3" s="5">
        <v>2</v>
      </c>
      <c r="AJ3" s="11">
        <f>AL3*1000</f>
        <v>2000</v>
      </c>
      <c r="AK3" s="11">
        <f>AL3*1000</f>
        <v>2000</v>
      </c>
      <c r="AL3" s="5">
        <v>2</v>
      </c>
      <c r="AM3" s="11">
        <f>AO3*1000</f>
        <v>2000</v>
      </c>
      <c r="AN3" s="11">
        <f>AO3*1000</f>
        <v>2000</v>
      </c>
      <c r="AO3" s="5">
        <v>2</v>
      </c>
      <c r="AP3" s="11">
        <f>AR3*1000</f>
        <v>2000</v>
      </c>
      <c r="AQ3" s="11">
        <f>AR3*1000</f>
        <v>2000</v>
      </c>
      <c r="AR3" s="5">
        <v>2</v>
      </c>
      <c r="AS3" s="11">
        <f>AU3*1000</f>
        <v>2000</v>
      </c>
      <c r="AT3" s="11">
        <f>AU3*1000</f>
        <v>2000</v>
      </c>
      <c r="AU3" s="5">
        <v>2</v>
      </c>
      <c r="AV3" s="11">
        <f>AX3*1000</f>
        <v>2000</v>
      </c>
      <c r="AW3" s="11">
        <f>AX3*1000</f>
        <v>2000</v>
      </c>
      <c r="AX3" s="5">
        <v>2</v>
      </c>
      <c r="AY3" s="5">
        <v>0</v>
      </c>
      <c r="AZ3" s="11">
        <f>SUM(O3,R3,U3,X3,AA3,AD3,AG3,AJ3,AM3,AP3,AS3,AV3)</f>
        <v>24000</v>
      </c>
      <c r="BA3" s="11">
        <f>SUM(P3,S3,V3,Y3,AB3,AE3,AH3,AK3,AN3,AQ3,AT3,AW3)</f>
        <v>24000</v>
      </c>
      <c r="BB3" s="5">
        <v>2</v>
      </c>
    </row>
    <row r="4" spans="1:55" s="6" customFormat="1">
      <c r="A4" s="7" t="s">
        <v>55</v>
      </c>
      <c r="B4" s="7" t="s">
        <v>56</v>
      </c>
      <c r="C4" s="7" t="s">
        <v>70</v>
      </c>
      <c r="D4" s="7" t="s">
        <v>71</v>
      </c>
      <c r="E4" s="7"/>
      <c r="F4" s="7">
        <v>375953</v>
      </c>
      <c r="G4" s="7">
        <v>5841813202</v>
      </c>
      <c r="H4" s="7" t="s">
        <v>60</v>
      </c>
      <c r="I4" s="7" t="s">
        <v>72</v>
      </c>
      <c r="J4" s="7" t="s">
        <v>73</v>
      </c>
      <c r="K4" s="7" t="s">
        <v>67</v>
      </c>
      <c r="L4" s="7" t="s">
        <v>74</v>
      </c>
      <c r="M4" s="7"/>
      <c r="N4" s="7" t="s">
        <v>69</v>
      </c>
      <c r="O4" s="12">
        <f t="shared" ref="O4:O21" si="0">Q4*1000</f>
        <v>4000</v>
      </c>
      <c r="P4" s="12">
        <f t="shared" ref="P4:P21" si="1">Q4*1000</f>
        <v>4000</v>
      </c>
      <c r="Q4" s="7">
        <v>4</v>
      </c>
      <c r="R4" s="12">
        <f t="shared" ref="R4:R21" si="2">T4*1000</f>
        <v>4000</v>
      </c>
      <c r="S4" s="12">
        <f t="shared" ref="S4:S21" si="3">T4*1000</f>
        <v>4000</v>
      </c>
      <c r="T4" s="7">
        <v>4</v>
      </c>
      <c r="U4" s="12">
        <f t="shared" ref="U4:U21" si="4">W4*1000</f>
        <v>4000</v>
      </c>
      <c r="V4" s="12">
        <f t="shared" ref="V4:V21" si="5">W4*1000</f>
        <v>4000</v>
      </c>
      <c r="W4" s="7">
        <v>4</v>
      </c>
      <c r="X4" s="12">
        <f t="shared" ref="X4:X21" si="6">Z4*1000</f>
        <v>4000</v>
      </c>
      <c r="Y4" s="12">
        <f t="shared" ref="Y4:Y21" si="7">Z4*1000</f>
        <v>4000</v>
      </c>
      <c r="Z4" s="7">
        <v>4</v>
      </c>
      <c r="AA4" s="12">
        <f t="shared" ref="AA4:AA21" si="8">AC4*1000</f>
        <v>4000</v>
      </c>
      <c r="AB4" s="12">
        <f t="shared" ref="AB4:AB21" si="9">AC4*1000</f>
        <v>4000</v>
      </c>
      <c r="AC4" s="7">
        <v>4</v>
      </c>
      <c r="AD4" s="12">
        <f t="shared" ref="AD4:AD21" si="10">AF4*1000</f>
        <v>4000</v>
      </c>
      <c r="AE4" s="12">
        <f t="shared" ref="AE4:AE21" si="11">AF4*1000</f>
        <v>4000</v>
      </c>
      <c r="AF4" s="7">
        <v>4</v>
      </c>
      <c r="AG4" s="12">
        <f t="shared" ref="AG4:AG21" si="12">AI4*1000</f>
        <v>4000</v>
      </c>
      <c r="AH4" s="12">
        <f t="shared" ref="AH4:AH21" si="13">AI4*1000</f>
        <v>4000</v>
      </c>
      <c r="AI4" s="7">
        <v>4</v>
      </c>
      <c r="AJ4" s="12">
        <f t="shared" ref="AJ4:AJ21" si="14">AL4*1000</f>
        <v>4000</v>
      </c>
      <c r="AK4" s="12">
        <f t="shared" ref="AK4:AK21" si="15">AL4*1000</f>
        <v>4000</v>
      </c>
      <c r="AL4" s="7">
        <v>4</v>
      </c>
      <c r="AM4" s="12">
        <f t="shared" ref="AM4:AM21" si="16">AO4*1000</f>
        <v>4000</v>
      </c>
      <c r="AN4" s="12">
        <f t="shared" ref="AN4:AN21" si="17">AO4*1000</f>
        <v>4000</v>
      </c>
      <c r="AO4" s="7">
        <v>4</v>
      </c>
      <c r="AP4" s="12">
        <f t="shared" ref="AP4:AP21" si="18">AR4*1000</f>
        <v>4000</v>
      </c>
      <c r="AQ4" s="12">
        <f t="shared" ref="AQ4:AQ21" si="19">AR4*1000</f>
        <v>4000</v>
      </c>
      <c r="AR4" s="7">
        <v>4</v>
      </c>
      <c r="AS4" s="12">
        <f t="shared" ref="AS4:AS21" si="20">AU4*1000</f>
        <v>4000</v>
      </c>
      <c r="AT4" s="12">
        <f t="shared" ref="AT4:AT21" si="21">AU4*1000</f>
        <v>4000</v>
      </c>
      <c r="AU4" s="7">
        <v>4</v>
      </c>
      <c r="AV4" s="12">
        <f t="shared" ref="AV4:AV21" si="22">AX4*1000</f>
        <v>4000</v>
      </c>
      <c r="AW4" s="12">
        <f t="shared" ref="AW4:AW21" si="23">AX4*1000</f>
        <v>4000</v>
      </c>
      <c r="AX4" s="7">
        <v>4</v>
      </c>
      <c r="AY4" s="7">
        <v>0</v>
      </c>
      <c r="AZ4" s="12">
        <f t="shared" ref="AZ4:BA21" si="24">SUM(O4,R4,U4,X4,AA4,AD4,AG4,AJ4,AM4,AP4,AS4,AV4)</f>
        <v>48000</v>
      </c>
      <c r="BA4" s="12">
        <f t="shared" si="24"/>
        <v>48000</v>
      </c>
      <c r="BB4" s="7">
        <v>4</v>
      </c>
    </row>
    <row r="5" spans="1:55" s="4" customFormat="1">
      <c r="A5" s="5" t="s">
        <v>55</v>
      </c>
      <c r="B5" s="5" t="s">
        <v>56</v>
      </c>
      <c r="C5" s="5" t="s">
        <v>75</v>
      </c>
      <c r="D5" s="5" t="s">
        <v>76</v>
      </c>
      <c r="E5" s="5"/>
      <c r="F5" s="5" t="s">
        <v>77</v>
      </c>
      <c r="G5" s="5" t="s">
        <v>77</v>
      </c>
      <c r="H5" s="5" t="s">
        <v>60</v>
      </c>
      <c r="I5" s="5" t="s">
        <v>77</v>
      </c>
      <c r="J5" s="5" t="s">
        <v>78</v>
      </c>
      <c r="K5" s="5" t="s">
        <v>79</v>
      </c>
      <c r="L5" s="5" t="s">
        <v>79</v>
      </c>
      <c r="M5" s="5"/>
      <c r="N5" s="5" t="s">
        <v>69</v>
      </c>
      <c r="O5" s="11">
        <f t="shared" si="0"/>
        <v>3000</v>
      </c>
      <c r="P5" s="11">
        <f t="shared" si="1"/>
        <v>3000</v>
      </c>
      <c r="Q5" s="5">
        <v>3</v>
      </c>
      <c r="R5" s="11">
        <f t="shared" si="2"/>
        <v>3000</v>
      </c>
      <c r="S5" s="11">
        <f t="shared" si="3"/>
        <v>3000</v>
      </c>
      <c r="T5" s="5">
        <v>3</v>
      </c>
      <c r="U5" s="11">
        <f t="shared" si="4"/>
        <v>3000</v>
      </c>
      <c r="V5" s="11">
        <f t="shared" si="5"/>
        <v>3000</v>
      </c>
      <c r="W5" s="5">
        <v>3</v>
      </c>
      <c r="X5" s="11">
        <f t="shared" si="6"/>
        <v>3000</v>
      </c>
      <c r="Y5" s="11">
        <f t="shared" si="7"/>
        <v>3000</v>
      </c>
      <c r="Z5" s="5">
        <v>3</v>
      </c>
      <c r="AA5" s="11">
        <f t="shared" si="8"/>
        <v>3000</v>
      </c>
      <c r="AB5" s="11">
        <f t="shared" si="9"/>
        <v>3000</v>
      </c>
      <c r="AC5" s="5">
        <v>3</v>
      </c>
      <c r="AD5" s="11">
        <f t="shared" si="10"/>
        <v>3000</v>
      </c>
      <c r="AE5" s="11">
        <f t="shared" si="11"/>
        <v>3000</v>
      </c>
      <c r="AF5" s="5">
        <v>3</v>
      </c>
      <c r="AG5" s="11">
        <f t="shared" si="12"/>
        <v>3000</v>
      </c>
      <c r="AH5" s="11">
        <f t="shared" si="13"/>
        <v>3000</v>
      </c>
      <c r="AI5" s="5">
        <v>3</v>
      </c>
      <c r="AJ5" s="11">
        <f t="shared" si="14"/>
        <v>3000</v>
      </c>
      <c r="AK5" s="11">
        <f t="shared" si="15"/>
        <v>3000</v>
      </c>
      <c r="AL5" s="5">
        <v>3</v>
      </c>
      <c r="AM5" s="11">
        <f t="shared" si="16"/>
        <v>3000</v>
      </c>
      <c r="AN5" s="11">
        <f t="shared" si="17"/>
        <v>3000</v>
      </c>
      <c r="AO5" s="5">
        <v>3</v>
      </c>
      <c r="AP5" s="11">
        <f t="shared" si="18"/>
        <v>3000</v>
      </c>
      <c r="AQ5" s="11">
        <f t="shared" si="19"/>
        <v>3000</v>
      </c>
      <c r="AR5" s="5">
        <v>3</v>
      </c>
      <c r="AS5" s="11">
        <f t="shared" si="20"/>
        <v>3000</v>
      </c>
      <c r="AT5" s="11">
        <f t="shared" si="21"/>
        <v>3000</v>
      </c>
      <c r="AU5" s="5">
        <v>3</v>
      </c>
      <c r="AV5" s="11">
        <f t="shared" si="22"/>
        <v>3000</v>
      </c>
      <c r="AW5" s="11">
        <f t="shared" si="23"/>
        <v>3000</v>
      </c>
      <c r="AX5" s="5">
        <v>3</v>
      </c>
      <c r="AY5" s="5">
        <v>0</v>
      </c>
      <c r="AZ5" s="11">
        <f t="shared" si="24"/>
        <v>36000</v>
      </c>
      <c r="BA5" s="11">
        <f t="shared" si="24"/>
        <v>36000</v>
      </c>
      <c r="BB5" s="5">
        <v>3</v>
      </c>
    </row>
    <row r="6" spans="1:55" s="6" customFormat="1">
      <c r="A6" s="7" t="s">
        <v>55</v>
      </c>
      <c r="B6" s="7" t="s">
        <v>56</v>
      </c>
      <c r="C6" s="7" t="s">
        <v>80</v>
      </c>
      <c r="D6" s="7" t="s">
        <v>81</v>
      </c>
      <c r="E6" s="7"/>
      <c r="F6" s="7">
        <v>370316</v>
      </c>
      <c r="G6" s="7">
        <v>5841813202</v>
      </c>
      <c r="H6" s="7" t="s">
        <v>60</v>
      </c>
      <c r="I6" s="7" t="s">
        <v>82</v>
      </c>
      <c r="J6" s="7" t="s">
        <v>73</v>
      </c>
      <c r="K6" s="7" t="s">
        <v>67</v>
      </c>
      <c r="L6" s="7" t="s">
        <v>74</v>
      </c>
      <c r="M6" s="7"/>
      <c r="N6" s="7" t="s">
        <v>69</v>
      </c>
      <c r="O6" s="12">
        <f t="shared" si="0"/>
        <v>4000</v>
      </c>
      <c r="P6" s="12">
        <f t="shared" si="1"/>
        <v>4000</v>
      </c>
      <c r="Q6" s="7">
        <v>4</v>
      </c>
      <c r="R6" s="12">
        <f t="shared" si="2"/>
        <v>4000</v>
      </c>
      <c r="S6" s="12">
        <f t="shared" si="3"/>
        <v>4000</v>
      </c>
      <c r="T6" s="7">
        <v>4</v>
      </c>
      <c r="U6" s="12">
        <f t="shared" si="4"/>
        <v>4000</v>
      </c>
      <c r="V6" s="12">
        <f t="shared" si="5"/>
        <v>4000</v>
      </c>
      <c r="W6" s="7">
        <v>4</v>
      </c>
      <c r="X6" s="12">
        <f t="shared" si="6"/>
        <v>4000</v>
      </c>
      <c r="Y6" s="12">
        <f t="shared" si="7"/>
        <v>4000</v>
      </c>
      <c r="Z6" s="7">
        <v>4</v>
      </c>
      <c r="AA6" s="12">
        <f t="shared" si="8"/>
        <v>4000</v>
      </c>
      <c r="AB6" s="12">
        <f t="shared" si="9"/>
        <v>4000</v>
      </c>
      <c r="AC6" s="7">
        <v>4</v>
      </c>
      <c r="AD6" s="12">
        <f t="shared" si="10"/>
        <v>4000</v>
      </c>
      <c r="AE6" s="12">
        <f t="shared" si="11"/>
        <v>4000</v>
      </c>
      <c r="AF6" s="7">
        <v>4</v>
      </c>
      <c r="AG6" s="12">
        <f t="shared" si="12"/>
        <v>4000</v>
      </c>
      <c r="AH6" s="12">
        <f t="shared" si="13"/>
        <v>4000</v>
      </c>
      <c r="AI6" s="7">
        <v>4</v>
      </c>
      <c r="AJ6" s="12">
        <f t="shared" si="14"/>
        <v>4000</v>
      </c>
      <c r="AK6" s="12">
        <f t="shared" si="15"/>
        <v>4000</v>
      </c>
      <c r="AL6" s="7">
        <v>4</v>
      </c>
      <c r="AM6" s="12">
        <f t="shared" si="16"/>
        <v>4000</v>
      </c>
      <c r="AN6" s="12">
        <f t="shared" si="17"/>
        <v>4000</v>
      </c>
      <c r="AO6" s="7">
        <v>4</v>
      </c>
      <c r="AP6" s="12">
        <f t="shared" si="18"/>
        <v>4000</v>
      </c>
      <c r="AQ6" s="12">
        <f t="shared" si="19"/>
        <v>4000</v>
      </c>
      <c r="AR6" s="7">
        <v>4</v>
      </c>
      <c r="AS6" s="12">
        <f t="shared" si="20"/>
        <v>4000</v>
      </c>
      <c r="AT6" s="12">
        <f t="shared" si="21"/>
        <v>4000</v>
      </c>
      <c r="AU6" s="7">
        <v>4</v>
      </c>
      <c r="AV6" s="12">
        <f t="shared" si="22"/>
        <v>4000</v>
      </c>
      <c r="AW6" s="12">
        <f t="shared" si="23"/>
        <v>4000</v>
      </c>
      <c r="AX6" s="7">
        <v>4</v>
      </c>
      <c r="AY6" s="7">
        <v>0</v>
      </c>
      <c r="AZ6" s="12">
        <f t="shared" si="24"/>
        <v>48000</v>
      </c>
      <c r="BA6" s="12">
        <f t="shared" si="24"/>
        <v>48000</v>
      </c>
      <c r="BB6" s="7">
        <v>4</v>
      </c>
    </row>
    <row r="7" spans="1:55" s="4" customFormat="1">
      <c r="A7" s="5" t="s">
        <v>55</v>
      </c>
      <c r="B7" s="5" t="s">
        <v>56</v>
      </c>
      <c r="C7" s="5" t="s">
        <v>83</v>
      </c>
      <c r="D7" s="5" t="s">
        <v>84</v>
      </c>
      <c r="E7" s="5"/>
      <c r="F7" s="5">
        <v>375725</v>
      </c>
      <c r="G7" s="5">
        <v>5841813202</v>
      </c>
      <c r="H7" s="5" t="s">
        <v>60</v>
      </c>
      <c r="I7" s="5" t="s">
        <v>85</v>
      </c>
      <c r="J7" s="5" t="s">
        <v>73</v>
      </c>
      <c r="K7" s="5" t="s">
        <v>67</v>
      </c>
      <c r="L7" s="5" t="s">
        <v>74</v>
      </c>
      <c r="M7" s="5"/>
      <c r="N7" s="5" t="s">
        <v>69</v>
      </c>
      <c r="O7" s="11">
        <f t="shared" si="0"/>
        <v>5000</v>
      </c>
      <c r="P7" s="11">
        <f t="shared" si="1"/>
        <v>5000</v>
      </c>
      <c r="Q7" s="5">
        <v>5</v>
      </c>
      <c r="R7" s="11">
        <f t="shared" si="2"/>
        <v>5000</v>
      </c>
      <c r="S7" s="11">
        <f t="shared" si="3"/>
        <v>5000</v>
      </c>
      <c r="T7" s="5">
        <v>5</v>
      </c>
      <c r="U7" s="11">
        <f t="shared" si="4"/>
        <v>5000</v>
      </c>
      <c r="V7" s="11">
        <f t="shared" si="5"/>
        <v>5000</v>
      </c>
      <c r="W7" s="5">
        <v>5</v>
      </c>
      <c r="X7" s="11">
        <f t="shared" si="6"/>
        <v>5000</v>
      </c>
      <c r="Y7" s="11">
        <f t="shared" si="7"/>
        <v>5000</v>
      </c>
      <c r="Z7" s="5">
        <v>5</v>
      </c>
      <c r="AA7" s="11">
        <f t="shared" si="8"/>
        <v>5000</v>
      </c>
      <c r="AB7" s="11">
        <f t="shared" si="9"/>
        <v>5000</v>
      </c>
      <c r="AC7" s="5">
        <v>5</v>
      </c>
      <c r="AD7" s="11">
        <f t="shared" si="10"/>
        <v>5000</v>
      </c>
      <c r="AE7" s="11">
        <f t="shared" si="11"/>
        <v>5000</v>
      </c>
      <c r="AF7" s="5">
        <v>5</v>
      </c>
      <c r="AG7" s="11">
        <f t="shared" si="12"/>
        <v>5000</v>
      </c>
      <c r="AH7" s="11">
        <f t="shared" si="13"/>
        <v>5000</v>
      </c>
      <c r="AI7" s="5">
        <v>5</v>
      </c>
      <c r="AJ7" s="11">
        <f t="shared" si="14"/>
        <v>5000</v>
      </c>
      <c r="AK7" s="11">
        <f t="shared" si="15"/>
        <v>5000</v>
      </c>
      <c r="AL7" s="5">
        <v>5</v>
      </c>
      <c r="AM7" s="11">
        <f t="shared" si="16"/>
        <v>5000</v>
      </c>
      <c r="AN7" s="11">
        <f t="shared" si="17"/>
        <v>5000</v>
      </c>
      <c r="AO7" s="5">
        <v>5</v>
      </c>
      <c r="AP7" s="11">
        <f t="shared" si="18"/>
        <v>5000</v>
      </c>
      <c r="AQ7" s="11">
        <f t="shared" si="19"/>
        <v>5000</v>
      </c>
      <c r="AR7" s="5">
        <v>5</v>
      </c>
      <c r="AS7" s="11">
        <f t="shared" si="20"/>
        <v>5000</v>
      </c>
      <c r="AT7" s="11">
        <f t="shared" si="21"/>
        <v>5000</v>
      </c>
      <c r="AU7" s="5">
        <v>5</v>
      </c>
      <c r="AV7" s="11">
        <f t="shared" si="22"/>
        <v>5000</v>
      </c>
      <c r="AW7" s="11">
        <f t="shared" si="23"/>
        <v>5000</v>
      </c>
      <c r="AX7" s="5">
        <v>5</v>
      </c>
      <c r="AY7" s="5">
        <v>0</v>
      </c>
      <c r="AZ7" s="11">
        <f t="shared" si="24"/>
        <v>60000</v>
      </c>
      <c r="BA7" s="11">
        <f t="shared" si="24"/>
        <v>60000</v>
      </c>
      <c r="BB7" s="5">
        <v>5</v>
      </c>
    </row>
    <row r="8" spans="1:55" s="6" customFormat="1">
      <c r="A8" s="7" t="s">
        <v>55</v>
      </c>
      <c r="B8" s="7" t="s">
        <v>56</v>
      </c>
      <c r="C8" s="7" t="s">
        <v>86</v>
      </c>
      <c r="D8" s="7" t="s">
        <v>87</v>
      </c>
      <c r="E8" s="7"/>
      <c r="F8" s="7">
        <v>129915</v>
      </c>
      <c r="G8" s="7">
        <v>5841813202</v>
      </c>
      <c r="H8" s="7" t="s">
        <v>60</v>
      </c>
      <c r="I8" s="7" t="s">
        <v>88</v>
      </c>
      <c r="J8" s="7" t="s">
        <v>73</v>
      </c>
      <c r="K8" s="7" t="s">
        <v>67</v>
      </c>
      <c r="L8" s="7" t="s">
        <v>74</v>
      </c>
      <c r="M8" s="7"/>
      <c r="N8" s="7" t="s">
        <v>69</v>
      </c>
      <c r="O8" s="12">
        <f t="shared" si="0"/>
        <v>5000</v>
      </c>
      <c r="P8" s="12">
        <f t="shared" si="1"/>
        <v>5000</v>
      </c>
      <c r="Q8" s="7">
        <v>5</v>
      </c>
      <c r="R8" s="12">
        <f t="shared" si="2"/>
        <v>5000</v>
      </c>
      <c r="S8" s="12">
        <f t="shared" si="3"/>
        <v>5000</v>
      </c>
      <c r="T8" s="7">
        <v>5</v>
      </c>
      <c r="U8" s="12">
        <f t="shared" si="4"/>
        <v>5000</v>
      </c>
      <c r="V8" s="12">
        <f t="shared" si="5"/>
        <v>5000</v>
      </c>
      <c r="W8" s="7">
        <v>5</v>
      </c>
      <c r="X8" s="12">
        <f t="shared" si="6"/>
        <v>5000</v>
      </c>
      <c r="Y8" s="12">
        <f t="shared" si="7"/>
        <v>5000</v>
      </c>
      <c r="Z8" s="7">
        <v>5</v>
      </c>
      <c r="AA8" s="12">
        <f t="shared" si="8"/>
        <v>5000</v>
      </c>
      <c r="AB8" s="12">
        <f t="shared" si="9"/>
        <v>5000</v>
      </c>
      <c r="AC8" s="7">
        <v>5</v>
      </c>
      <c r="AD8" s="12">
        <f t="shared" si="10"/>
        <v>5000</v>
      </c>
      <c r="AE8" s="12">
        <f t="shared" si="11"/>
        <v>5000</v>
      </c>
      <c r="AF8" s="7">
        <v>5</v>
      </c>
      <c r="AG8" s="12">
        <f t="shared" si="12"/>
        <v>5000</v>
      </c>
      <c r="AH8" s="12">
        <f t="shared" si="13"/>
        <v>5000</v>
      </c>
      <c r="AI8" s="7">
        <v>5</v>
      </c>
      <c r="AJ8" s="12">
        <f t="shared" si="14"/>
        <v>5000</v>
      </c>
      <c r="AK8" s="12">
        <f t="shared" si="15"/>
        <v>5000</v>
      </c>
      <c r="AL8" s="7">
        <v>5</v>
      </c>
      <c r="AM8" s="12">
        <f t="shared" si="16"/>
        <v>5000</v>
      </c>
      <c r="AN8" s="12">
        <f t="shared" si="17"/>
        <v>5000</v>
      </c>
      <c r="AO8" s="7">
        <v>5</v>
      </c>
      <c r="AP8" s="12">
        <f t="shared" si="18"/>
        <v>5000</v>
      </c>
      <c r="AQ8" s="12">
        <f t="shared" si="19"/>
        <v>5000</v>
      </c>
      <c r="AR8" s="7">
        <v>5</v>
      </c>
      <c r="AS8" s="12">
        <f t="shared" si="20"/>
        <v>5000</v>
      </c>
      <c r="AT8" s="12">
        <f t="shared" si="21"/>
        <v>5000</v>
      </c>
      <c r="AU8" s="7">
        <v>5</v>
      </c>
      <c r="AV8" s="12">
        <f t="shared" si="22"/>
        <v>5000</v>
      </c>
      <c r="AW8" s="12">
        <f t="shared" si="23"/>
        <v>5000</v>
      </c>
      <c r="AX8" s="7">
        <v>5</v>
      </c>
      <c r="AY8" s="7">
        <v>0</v>
      </c>
      <c r="AZ8" s="12">
        <f t="shared" si="24"/>
        <v>60000</v>
      </c>
      <c r="BA8" s="12">
        <f t="shared" si="24"/>
        <v>60000</v>
      </c>
      <c r="BB8" s="7">
        <v>5</v>
      </c>
    </row>
    <row r="9" spans="1:55" s="4" customFormat="1">
      <c r="A9" s="5" t="s">
        <v>55</v>
      </c>
      <c r="B9" s="5" t="s">
        <v>56</v>
      </c>
      <c r="C9" s="5" t="s">
        <v>89</v>
      </c>
      <c r="D9" s="5" t="s">
        <v>90</v>
      </c>
      <c r="E9" s="5"/>
      <c r="F9" s="5">
        <v>38617004</v>
      </c>
      <c r="G9" s="5">
        <v>5841813202</v>
      </c>
      <c r="H9" s="5" t="s">
        <v>60</v>
      </c>
      <c r="I9" s="5" t="s">
        <v>91</v>
      </c>
      <c r="J9" s="5" t="s">
        <v>73</v>
      </c>
      <c r="K9" s="5" t="s">
        <v>79</v>
      </c>
      <c r="L9" s="5" t="s">
        <v>74</v>
      </c>
      <c r="M9" s="5"/>
      <c r="N9" s="5" t="s">
        <v>69</v>
      </c>
      <c r="O9" s="11">
        <f t="shared" si="0"/>
        <v>7000</v>
      </c>
      <c r="P9" s="11">
        <f t="shared" si="1"/>
        <v>7000</v>
      </c>
      <c r="Q9" s="5">
        <v>7</v>
      </c>
      <c r="R9" s="11">
        <f t="shared" si="2"/>
        <v>7000</v>
      </c>
      <c r="S9" s="11">
        <f t="shared" si="3"/>
        <v>7000</v>
      </c>
      <c r="T9" s="5">
        <v>7</v>
      </c>
      <c r="U9" s="11">
        <f t="shared" si="4"/>
        <v>7000</v>
      </c>
      <c r="V9" s="11">
        <f t="shared" si="5"/>
        <v>7000</v>
      </c>
      <c r="W9" s="5">
        <v>7</v>
      </c>
      <c r="X9" s="11">
        <f t="shared" si="6"/>
        <v>7000</v>
      </c>
      <c r="Y9" s="11">
        <f t="shared" si="7"/>
        <v>7000</v>
      </c>
      <c r="Z9" s="5">
        <v>7</v>
      </c>
      <c r="AA9" s="11">
        <f t="shared" si="8"/>
        <v>7000</v>
      </c>
      <c r="AB9" s="11">
        <f t="shared" si="9"/>
        <v>7000</v>
      </c>
      <c r="AC9" s="5">
        <v>7</v>
      </c>
      <c r="AD9" s="11">
        <f t="shared" si="10"/>
        <v>7000</v>
      </c>
      <c r="AE9" s="11">
        <f t="shared" si="11"/>
        <v>7000</v>
      </c>
      <c r="AF9" s="5">
        <v>7</v>
      </c>
      <c r="AG9" s="11">
        <f t="shared" si="12"/>
        <v>7000</v>
      </c>
      <c r="AH9" s="11">
        <f t="shared" si="13"/>
        <v>7000</v>
      </c>
      <c r="AI9" s="5">
        <v>7</v>
      </c>
      <c r="AJ9" s="11">
        <f t="shared" si="14"/>
        <v>7000</v>
      </c>
      <c r="AK9" s="11">
        <f t="shared" si="15"/>
        <v>7000</v>
      </c>
      <c r="AL9" s="5">
        <v>7</v>
      </c>
      <c r="AM9" s="11">
        <f t="shared" si="16"/>
        <v>7000</v>
      </c>
      <c r="AN9" s="11">
        <f t="shared" si="17"/>
        <v>7000</v>
      </c>
      <c r="AO9" s="5">
        <v>7</v>
      </c>
      <c r="AP9" s="11">
        <f t="shared" si="18"/>
        <v>7000</v>
      </c>
      <c r="AQ9" s="11">
        <f t="shared" si="19"/>
        <v>7000</v>
      </c>
      <c r="AR9" s="5">
        <v>7</v>
      </c>
      <c r="AS9" s="11">
        <f t="shared" si="20"/>
        <v>7000</v>
      </c>
      <c r="AT9" s="11">
        <f t="shared" si="21"/>
        <v>7000</v>
      </c>
      <c r="AU9" s="5">
        <v>7</v>
      </c>
      <c r="AV9" s="11">
        <f t="shared" si="22"/>
        <v>7000</v>
      </c>
      <c r="AW9" s="11">
        <f t="shared" si="23"/>
        <v>7000</v>
      </c>
      <c r="AX9" s="5">
        <v>7</v>
      </c>
      <c r="AY9" s="5">
        <v>0</v>
      </c>
      <c r="AZ9" s="11">
        <f t="shared" si="24"/>
        <v>84000</v>
      </c>
      <c r="BA9" s="11">
        <f t="shared" si="24"/>
        <v>84000</v>
      </c>
      <c r="BB9" s="5">
        <v>7</v>
      </c>
    </row>
    <row r="10" spans="1:55" s="6" customFormat="1">
      <c r="A10" s="7" t="s">
        <v>55</v>
      </c>
      <c r="B10" s="7" t="s">
        <v>56</v>
      </c>
      <c r="C10" s="7" t="s">
        <v>57</v>
      </c>
      <c r="D10" s="7" t="s">
        <v>92</v>
      </c>
      <c r="E10" s="7"/>
      <c r="F10" s="7">
        <v>38617008</v>
      </c>
      <c r="G10" s="7">
        <v>5841813202</v>
      </c>
      <c r="H10" s="7" t="s">
        <v>60</v>
      </c>
      <c r="I10" s="7" t="s">
        <v>93</v>
      </c>
      <c r="J10" s="7" t="s">
        <v>73</v>
      </c>
      <c r="K10" s="7" t="s">
        <v>79</v>
      </c>
      <c r="L10" s="7" t="s">
        <v>74</v>
      </c>
      <c r="M10" s="7"/>
      <c r="N10" s="7" t="s">
        <v>69</v>
      </c>
      <c r="O10" s="12">
        <f t="shared" si="0"/>
        <v>4000</v>
      </c>
      <c r="P10" s="12">
        <f t="shared" si="1"/>
        <v>4000</v>
      </c>
      <c r="Q10" s="7">
        <v>4</v>
      </c>
      <c r="R10" s="12">
        <f t="shared" si="2"/>
        <v>4000</v>
      </c>
      <c r="S10" s="12">
        <f t="shared" si="3"/>
        <v>4000</v>
      </c>
      <c r="T10" s="7">
        <v>4</v>
      </c>
      <c r="U10" s="12">
        <f t="shared" si="4"/>
        <v>4000</v>
      </c>
      <c r="V10" s="12">
        <f t="shared" si="5"/>
        <v>4000</v>
      </c>
      <c r="W10" s="7">
        <v>4</v>
      </c>
      <c r="X10" s="12">
        <f t="shared" si="6"/>
        <v>4000</v>
      </c>
      <c r="Y10" s="12">
        <f t="shared" si="7"/>
        <v>4000</v>
      </c>
      <c r="Z10" s="7">
        <v>4</v>
      </c>
      <c r="AA10" s="12">
        <f t="shared" si="8"/>
        <v>4000</v>
      </c>
      <c r="AB10" s="12">
        <f t="shared" si="9"/>
        <v>4000</v>
      </c>
      <c r="AC10" s="7">
        <v>4</v>
      </c>
      <c r="AD10" s="12">
        <f t="shared" si="10"/>
        <v>4000</v>
      </c>
      <c r="AE10" s="12">
        <f t="shared" si="11"/>
        <v>4000</v>
      </c>
      <c r="AF10" s="7">
        <v>4</v>
      </c>
      <c r="AG10" s="12">
        <f t="shared" si="12"/>
        <v>4000</v>
      </c>
      <c r="AH10" s="12">
        <f t="shared" si="13"/>
        <v>4000</v>
      </c>
      <c r="AI10" s="7">
        <v>4</v>
      </c>
      <c r="AJ10" s="12">
        <f t="shared" si="14"/>
        <v>4000</v>
      </c>
      <c r="AK10" s="12">
        <f t="shared" si="15"/>
        <v>4000</v>
      </c>
      <c r="AL10" s="7">
        <v>4</v>
      </c>
      <c r="AM10" s="12">
        <f t="shared" si="16"/>
        <v>4000</v>
      </c>
      <c r="AN10" s="12">
        <f t="shared" si="17"/>
        <v>4000</v>
      </c>
      <c r="AO10" s="7">
        <v>4</v>
      </c>
      <c r="AP10" s="12">
        <f t="shared" si="18"/>
        <v>4000</v>
      </c>
      <c r="AQ10" s="12">
        <f t="shared" si="19"/>
        <v>4000</v>
      </c>
      <c r="AR10" s="7">
        <v>4</v>
      </c>
      <c r="AS10" s="12">
        <f t="shared" si="20"/>
        <v>4000</v>
      </c>
      <c r="AT10" s="12">
        <f t="shared" si="21"/>
        <v>4000</v>
      </c>
      <c r="AU10" s="7">
        <v>4</v>
      </c>
      <c r="AV10" s="12">
        <f t="shared" si="22"/>
        <v>4000</v>
      </c>
      <c r="AW10" s="12">
        <f t="shared" si="23"/>
        <v>4000</v>
      </c>
      <c r="AX10" s="7">
        <v>4</v>
      </c>
      <c r="AY10" s="7">
        <v>0</v>
      </c>
      <c r="AZ10" s="12">
        <f t="shared" si="24"/>
        <v>48000</v>
      </c>
      <c r="BA10" s="12">
        <f t="shared" si="24"/>
        <v>48000</v>
      </c>
      <c r="BB10" s="7">
        <v>4</v>
      </c>
    </row>
    <row r="11" spans="1:55" s="4" customFormat="1">
      <c r="A11" s="5" t="s">
        <v>55</v>
      </c>
      <c r="B11" s="5" t="s">
        <v>56</v>
      </c>
      <c r="C11" s="5" t="s">
        <v>57</v>
      </c>
      <c r="D11" s="5" t="s">
        <v>94</v>
      </c>
      <c r="E11" s="5" t="s">
        <v>69</v>
      </c>
      <c r="F11" s="5">
        <v>36617001</v>
      </c>
      <c r="G11" s="5">
        <v>5841813202</v>
      </c>
      <c r="H11" s="5" t="s">
        <v>60</v>
      </c>
      <c r="I11" s="5" t="s">
        <v>95</v>
      </c>
      <c r="J11" s="5" t="s">
        <v>73</v>
      </c>
      <c r="K11" s="5" t="s">
        <v>79</v>
      </c>
      <c r="L11" s="5" t="s">
        <v>74</v>
      </c>
      <c r="M11" s="5"/>
      <c r="N11" s="5" t="s">
        <v>69</v>
      </c>
      <c r="O11" s="11">
        <f t="shared" si="0"/>
        <v>6000</v>
      </c>
      <c r="P11" s="11">
        <f t="shared" si="1"/>
        <v>6000</v>
      </c>
      <c r="Q11" s="5">
        <v>6</v>
      </c>
      <c r="R11" s="11">
        <f t="shared" si="2"/>
        <v>6000</v>
      </c>
      <c r="S11" s="11">
        <f t="shared" si="3"/>
        <v>6000</v>
      </c>
      <c r="T11" s="5">
        <v>6</v>
      </c>
      <c r="U11" s="11">
        <f t="shared" si="4"/>
        <v>6000</v>
      </c>
      <c r="V11" s="11">
        <f t="shared" si="5"/>
        <v>6000</v>
      </c>
      <c r="W11" s="5">
        <v>6</v>
      </c>
      <c r="X11" s="11">
        <f t="shared" si="6"/>
        <v>6000</v>
      </c>
      <c r="Y11" s="11">
        <f t="shared" si="7"/>
        <v>6000</v>
      </c>
      <c r="Z11" s="5">
        <v>6</v>
      </c>
      <c r="AA11" s="11">
        <f t="shared" si="8"/>
        <v>6000</v>
      </c>
      <c r="AB11" s="11">
        <f t="shared" si="9"/>
        <v>6000</v>
      </c>
      <c r="AC11" s="5">
        <v>6</v>
      </c>
      <c r="AD11" s="11">
        <f t="shared" si="10"/>
        <v>6000</v>
      </c>
      <c r="AE11" s="11">
        <f t="shared" si="11"/>
        <v>6000</v>
      </c>
      <c r="AF11" s="5">
        <v>6</v>
      </c>
      <c r="AG11" s="11">
        <f t="shared" si="12"/>
        <v>6000</v>
      </c>
      <c r="AH11" s="11">
        <f t="shared" si="13"/>
        <v>6000</v>
      </c>
      <c r="AI11" s="5">
        <v>6</v>
      </c>
      <c r="AJ11" s="11">
        <f t="shared" si="14"/>
        <v>6000</v>
      </c>
      <c r="AK11" s="11">
        <f t="shared" si="15"/>
        <v>6000</v>
      </c>
      <c r="AL11" s="5">
        <v>6</v>
      </c>
      <c r="AM11" s="11">
        <f t="shared" si="16"/>
        <v>6000</v>
      </c>
      <c r="AN11" s="11">
        <f t="shared" si="17"/>
        <v>6000</v>
      </c>
      <c r="AO11" s="5">
        <v>6</v>
      </c>
      <c r="AP11" s="11">
        <f t="shared" si="18"/>
        <v>6000</v>
      </c>
      <c r="AQ11" s="11">
        <f t="shared" si="19"/>
        <v>6000</v>
      </c>
      <c r="AR11" s="5">
        <v>6</v>
      </c>
      <c r="AS11" s="11">
        <f t="shared" si="20"/>
        <v>6000</v>
      </c>
      <c r="AT11" s="11">
        <f t="shared" si="21"/>
        <v>6000</v>
      </c>
      <c r="AU11" s="5">
        <v>6</v>
      </c>
      <c r="AV11" s="11">
        <f t="shared" si="22"/>
        <v>6000</v>
      </c>
      <c r="AW11" s="11">
        <f t="shared" si="23"/>
        <v>6000</v>
      </c>
      <c r="AX11" s="5">
        <v>6</v>
      </c>
      <c r="AY11" s="5">
        <v>0</v>
      </c>
      <c r="AZ11" s="11">
        <f t="shared" si="24"/>
        <v>72000</v>
      </c>
      <c r="BA11" s="11">
        <f t="shared" si="24"/>
        <v>72000</v>
      </c>
      <c r="BB11" s="5">
        <v>6</v>
      </c>
    </row>
    <row r="12" spans="1:55" s="6" customFormat="1">
      <c r="A12" s="7" t="s">
        <v>55</v>
      </c>
      <c r="B12" s="7" t="s">
        <v>56</v>
      </c>
      <c r="C12" s="7" t="s">
        <v>80</v>
      </c>
      <c r="D12" s="7" t="s">
        <v>96</v>
      </c>
      <c r="E12" s="7" t="s">
        <v>69</v>
      </c>
      <c r="F12" s="7">
        <v>36617009</v>
      </c>
      <c r="G12" s="7">
        <v>5841993202</v>
      </c>
      <c r="H12" s="7" t="s">
        <v>60</v>
      </c>
      <c r="I12" s="7" t="s">
        <v>97</v>
      </c>
      <c r="J12" s="7" t="s">
        <v>73</v>
      </c>
      <c r="K12" s="7" t="s">
        <v>79</v>
      </c>
      <c r="L12" s="7" t="s">
        <v>74</v>
      </c>
      <c r="M12" s="7"/>
      <c r="N12" s="7" t="s">
        <v>69</v>
      </c>
      <c r="O12" s="12">
        <f t="shared" si="0"/>
        <v>7000</v>
      </c>
      <c r="P12" s="12">
        <f t="shared" si="1"/>
        <v>7000</v>
      </c>
      <c r="Q12" s="7">
        <v>7</v>
      </c>
      <c r="R12" s="12">
        <f t="shared" si="2"/>
        <v>7000</v>
      </c>
      <c r="S12" s="12">
        <f t="shared" si="3"/>
        <v>7000</v>
      </c>
      <c r="T12" s="7">
        <v>7</v>
      </c>
      <c r="U12" s="12">
        <f t="shared" si="4"/>
        <v>7000</v>
      </c>
      <c r="V12" s="12">
        <f t="shared" si="5"/>
        <v>7000</v>
      </c>
      <c r="W12" s="7">
        <v>7</v>
      </c>
      <c r="X12" s="12">
        <f t="shared" si="6"/>
        <v>7000</v>
      </c>
      <c r="Y12" s="12">
        <f t="shared" si="7"/>
        <v>7000</v>
      </c>
      <c r="Z12" s="7">
        <v>7</v>
      </c>
      <c r="AA12" s="12">
        <f t="shared" si="8"/>
        <v>7000</v>
      </c>
      <c r="AB12" s="12">
        <f t="shared" si="9"/>
        <v>7000</v>
      </c>
      <c r="AC12" s="7">
        <v>7</v>
      </c>
      <c r="AD12" s="12">
        <f t="shared" si="10"/>
        <v>7000</v>
      </c>
      <c r="AE12" s="12">
        <f t="shared" si="11"/>
        <v>7000</v>
      </c>
      <c r="AF12" s="7">
        <v>7</v>
      </c>
      <c r="AG12" s="12">
        <f t="shared" si="12"/>
        <v>7000</v>
      </c>
      <c r="AH12" s="12">
        <f t="shared" si="13"/>
        <v>7000</v>
      </c>
      <c r="AI12" s="7">
        <v>7</v>
      </c>
      <c r="AJ12" s="12">
        <f t="shared" si="14"/>
        <v>7000</v>
      </c>
      <c r="AK12" s="12">
        <f t="shared" si="15"/>
        <v>7000</v>
      </c>
      <c r="AL12" s="7">
        <v>7</v>
      </c>
      <c r="AM12" s="12">
        <f t="shared" si="16"/>
        <v>7000</v>
      </c>
      <c r="AN12" s="12">
        <f t="shared" si="17"/>
        <v>7000</v>
      </c>
      <c r="AO12" s="7">
        <v>7</v>
      </c>
      <c r="AP12" s="12">
        <f t="shared" si="18"/>
        <v>7000</v>
      </c>
      <c r="AQ12" s="12">
        <f t="shared" si="19"/>
        <v>7000</v>
      </c>
      <c r="AR12" s="7">
        <v>7</v>
      </c>
      <c r="AS12" s="12">
        <f t="shared" si="20"/>
        <v>7000</v>
      </c>
      <c r="AT12" s="12">
        <f t="shared" si="21"/>
        <v>7000</v>
      </c>
      <c r="AU12" s="7">
        <v>7</v>
      </c>
      <c r="AV12" s="12">
        <f t="shared" si="22"/>
        <v>7000</v>
      </c>
      <c r="AW12" s="12">
        <f t="shared" si="23"/>
        <v>7000</v>
      </c>
      <c r="AX12" s="7">
        <v>7</v>
      </c>
      <c r="AY12" s="7">
        <v>0</v>
      </c>
      <c r="AZ12" s="12">
        <f t="shared" si="24"/>
        <v>84000</v>
      </c>
      <c r="BA12" s="12">
        <f t="shared" si="24"/>
        <v>84000</v>
      </c>
      <c r="BB12" s="7">
        <v>7</v>
      </c>
    </row>
    <row r="13" spans="1:55" s="4" customFormat="1">
      <c r="A13" s="5" t="s">
        <v>55</v>
      </c>
      <c r="B13" s="5" t="s">
        <v>56</v>
      </c>
      <c r="C13" s="5" t="s">
        <v>86</v>
      </c>
      <c r="D13" s="5" t="s">
        <v>98</v>
      </c>
      <c r="E13" s="5" t="s">
        <v>69</v>
      </c>
      <c r="F13" s="5">
        <v>38617007</v>
      </c>
      <c r="G13" s="5">
        <v>5842073202</v>
      </c>
      <c r="H13" s="5" t="s">
        <v>60</v>
      </c>
      <c r="I13" s="5" t="s">
        <v>99</v>
      </c>
      <c r="J13" s="5" t="s">
        <v>73</v>
      </c>
      <c r="K13" s="5" t="s">
        <v>79</v>
      </c>
      <c r="L13" s="5" t="s">
        <v>74</v>
      </c>
      <c r="M13" s="5"/>
      <c r="N13" s="5" t="s">
        <v>69</v>
      </c>
      <c r="O13" s="11">
        <f t="shared" si="0"/>
        <v>6000</v>
      </c>
      <c r="P13" s="11">
        <f t="shared" si="1"/>
        <v>6000</v>
      </c>
      <c r="Q13" s="5">
        <v>6</v>
      </c>
      <c r="R13" s="11">
        <f t="shared" si="2"/>
        <v>6000</v>
      </c>
      <c r="S13" s="11">
        <f t="shared" si="3"/>
        <v>6000</v>
      </c>
      <c r="T13" s="5">
        <v>6</v>
      </c>
      <c r="U13" s="11">
        <f t="shared" si="4"/>
        <v>6000</v>
      </c>
      <c r="V13" s="11">
        <f t="shared" si="5"/>
        <v>6000</v>
      </c>
      <c r="W13" s="5">
        <v>6</v>
      </c>
      <c r="X13" s="11">
        <f t="shared" si="6"/>
        <v>6000</v>
      </c>
      <c r="Y13" s="11">
        <f t="shared" si="7"/>
        <v>6000</v>
      </c>
      <c r="Z13" s="5">
        <v>6</v>
      </c>
      <c r="AA13" s="11">
        <f t="shared" si="8"/>
        <v>6000</v>
      </c>
      <c r="AB13" s="11">
        <f t="shared" si="9"/>
        <v>6000</v>
      </c>
      <c r="AC13" s="5">
        <v>6</v>
      </c>
      <c r="AD13" s="11">
        <f t="shared" si="10"/>
        <v>6000</v>
      </c>
      <c r="AE13" s="11">
        <f t="shared" si="11"/>
        <v>6000</v>
      </c>
      <c r="AF13" s="5">
        <v>6</v>
      </c>
      <c r="AG13" s="11">
        <f t="shared" si="12"/>
        <v>6000</v>
      </c>
      <c r="AH13" s="11">
        <f t="shared" si="13"/>
        <v>6000</v>
      </c>
      <c r="AI13" s="5">
        <v>6</v>
      </c>
      <c r="AJ13" s="11">
        <f t="shared" si="14"/>
        <v>6000</v>
      </c>
      <c r="AK13" s="11">
        <f t="shared" si="15"/>
        <v>6000</v>
      </c>
      <c r="AL13" s="5">
        <v>6</v>
      </c>
      <c r="AM13" s="11">
        <f t="shared" si="16"/>
        <v>6000</v>
      </c>
      <c r="AN13" s="11">
        <f t="shared" si="17"/>
        <v>6000</v>
      </c>
      <c r="AO13" s="5">
        <v>6</v>
      </c>
      <c r="AP13" s="11">
        <f t="shared" si="18"/>
        <v>6000</v>
      </c>
      <c r="AQ13" s="11">
        <f t="shared" si="19"/>
        <v>6000</v>
      </c>
      <c r="AR13" s="5">
        <v>6</v>
      </c>
      <c r="AS13" s="11">
        <f t="shared" si="20"/>
        <v>6000</v>
      </c>
      <c r="AT13" s="11">
        <f t="shared" si="21"/>
        <v>6000</v>
      </c>
      <c r="AU13" s="5">
        <v>6</v>
      </c>
      <c r="AV13" s="11">
        <f t="shared" si="22"/>
        <v>6000</v>
      </c>
      <c r="AW13" s="11">
        <f t="shared" si="23"/>
        <v>6000</v>
      </c>
      <c r="AX13" s="5">
        <v>6</v>
      </c>
      <c r="AY13" s="5">
        <v>0</v>
      </c>
      <c r="AZ13" s="11">
        <f t="shared" si="24"/>
        <v>72000</v>
      </c>
      <c r="BA13" s="11">
        <f t="shared" si="24"/>
        <v>72000</v>
      </c>
      <c r="BB13" s="5">
        <v>6</v>
      </c>
    </row>
    <row r="14" spans="1:55" s="6" customFormat="1">
      <c r="A14" s="7" t="s">
        <v>55</v>
      </c>
      <c r="B14" s="7" t="s">
        <v>56</v>
      </c>
      <c r="C14" s="7" t="s">
        <v>63</v>
      </c>
      <c r="D14" s="7" t="s">
        <v>100</v>
      </c>
      <c r="E14" s="7" t="s">
        <v>69</v>
      </c>
      <c r="F14" s="7">
        <v>36617003</v>
      </c>
      <c r="G14" s="7">
        <v>5842213202</v>
      </c>
      <c r="H14" s="7" t="s">
        <v>60</v>
      </c>
      <c r="I14" s="7" t="s">
        <v>101</v>
      </c>
      <c r="J14" s="7" t="s">
        <v>73</v>
      </c>
      <c r="K14" s="7" t="s">
        <v>79</v>
      </c>
      <c r="L14" s="7" t="s">
        <v>74</v>
      </c>
      <c r="M14" s="7"/>
      <c r="N14" s="7" t="s">
        <v>69</v>
      </c>
      <c r="O14" s="12">
        <f t="shared" si="0"/>
        <v>5000</v>
      </c>
      <c r="P14" s="12">
        <f t="shared" si="1"/>
        <v>5000</v>
      </c>
      <c r="Q14" s="7">
        <v>5</v>
      </c>
      <c r="R14" s="12">
        <f t="shared" si="2"/>
        <v>5000</v>
      </c>
      <c r="S14" s="12">
        <f t="shared" si="3"/>
        <v>5000</v>
      </c>
      <c r="T14" s="7">
        <v>5</v>
      </c>
      <c r="U14" s="12">
        <f t="shared" si="4"/>
        <v>5000</v>
      </c>
      <c r="V14" s="12">
        <f t="shared" si="5"/>
        <v>5000</v>
      </c>
      <c r="W14" s="7">
        <v>5</v>
      </c>
      <c r="X14" s="12">
        <f t="shared" si="6"/>
        <v>5000</v>
      </c>
      <c r="Y14" s="12">
        <f t="shared" si="7"/>
        <v>5000</v>
      </c>
      <c r="Z14" s="7">
        <v>5</v>
      </c>
      <c r="AA14" s="12">
        <f t="shared" si="8"/>
        <v>5000</v>
      </c>
      <c r="AB14" s="12">
        <f t="shared" si="9"/>
        <v>5000</v>
      </c>
      <c r="AC14" s="7">
        <v>5</v>
      </c>
      <c r="AD14" s="12">
        <f t="shared" si="10"/>
        <v>5000</v>
      </c>
      <c r="AE14" s="12">
        <f t="shared" si="11"/>
        <v>5000</v>
      </c>
      <c r="AF14" s="7">
        <v>5</v>
      </c>
      <c r="AG14" s="12">
        <f t="shared" si="12"/>
        <v>5000</v>
      </c>
      <c r="AH14" s="12">
        <f t="shared" si="13"/>
        <v>5000</v>
      </c>
      <c r="AI14" s="7">
        <v>5</v>
      </c>
      <c r="AJ14" s="12">
        <f t="shared" si="14"/>
        <v>5000</v>
      </c>
      <c r="AK14" s="12">
        <f t="shared" si="15"/>
        <v>5000</v>
      </c>
      <c r="AL14" s="7">
        <v>5</v>
      </c>
      <c r="AM14" s="12">
        <f t="shared" si="16"/>
        <v>5000</v>
      </c>
      <c r="AN14" s="12">
        <f t="shared" si="17"/>
        <v>5000</v>
      </c>
      <c r="AO14" s="7">
        <v>5</v>
      </c>
      <c r="AP14" s="12">
        <f t="shared" si="18"/>
        <v>5000</v>
      </c>
      <c r="AQ14" s="12">
        <f t="shared" si="19"/>
        <v>5000</v>
      </c>
      <c r="AR14" s="7">
        <v>5</v>
      </c>
      <c r="AS14" s="12">
        <f t="shared" si="20"/>
        <v>5000</v>
      </c>
      <c r="AT14" s="12">
        <f t="shared" si="21"/>
        <v>5000</v>
      </c>
      <c r="AU14" s="7">
        <v>5</v>
      </c>
      <c r="AV14" s="12">
        <f t="shared" si="22"/>
        <v>5000</v>
      </c>
      <c r="AW14" s="12">
        <f t="shared" si="23"/>
        <v>5000</v>
      </c>
      <c r="AX14" s="7">
        <v>5</v>
      </c>
      <c r="AY14" s="7">
        <v>0</v>
      </c>
      <c r="AZ14" s="12">
        <f t="shared" si="24"/>
        <v>60000</v>
      </c>
      <c r="BA14" s="12">
        <f t="shared" si="24"/>
        <v>60000</v>
      </c>
      <c r="BB14" s="7">
        <v>5</v>
      </c>
    </row>
    <row r="15" spans="1:55" s="4" customFormat="1">
      <c r="A15" s="5" t="s">
        <v>55</v>
      </c>
      <c r="B15" s="5" t="s">
        <v>56</v>
      </c>
      <c r="C15" s="5" t="s">
        <v>102</v>
      </c>
      <c r="D15" s="5" t="s">
        <v>103</v>
      </c>
      <c r="E15" s="5"/>
      <c r="F15" s="5" t="s">
        <v>104</v>
      </c>
      <c r="G15" s="5" t="s">
        <v>104</v>
      </c>
      <c r="H15" s="5" t="s">
        <v>60</v>
      </c>
      <c r="I15" s="5" t="s">
        <v>104</v>
      </c>
      <c r="J15" s="5" t="s">
        <v>78</v>
      </c>
      <c r="K15" s="5" t="s">
        <v>79</v>
      </c>
      <c r="L15" s="5" t="s">
        <v>74</v>
      </c>
      <c r="M15" s="5"/>
      <c r="N15" s="5" t="s">
        <v>69</v>
      </c>
      <c r="O15" s="11">
        <f t="shared" si="0"/>
        <v>4000</v>
      </c>
      <c r="P15" s="11">
        <f t="shared" si="1"/>
        <v>4000</v>
      </c>
      <c r="Q15" s="5">
        <v>4</v>
      </c>
      <c r="R15" s="11">
        <f t="shared" si="2"/>
        <v>4000</v>
      </c>
      <c r="S15" s="11">
        <f t="shared" si="3"/>
        <v>4000</v>
      </c>
      <c r="T15" s="5">
        <v>4</v>
      </c>
      <c r="U15" s="11">
        <f t="shared" si="4"/>
        <v>4000</v>
      </c>
      <c r="V15" s="11">
        <f t="shared" si="5"/>
        <v>4000</v>
      </c>
      <c r="W15" s="5">
        <v>4</v>
      </c>
      <c r="X15" s="11">
        <f t="shared" si="6"/>
        <v>4000</v>
      </c>
      <c r="Y15" s="11">
        <f t="shared" si="7"/>
        <v>4000</v>
      </c>
      <c r="Z15" s="5">
        <v>4</v>
      </c>
      <c r="AA15" s="11">
        <f t="shared" si="8"/>
        <v>4000</v>
      </c>
      <c r="AB15" s="11">
        <f t="shared" si="9"/>
        <v>4000</v>
      </c>
      <c r="AC15" s="5">
        <v>4</v>
      </c>
      <c r="AD15" s="11">
        <f t="shared" si="10"/>
        <v>4000</v>
      </c>
      <c r="AE15" s="11">
        <f t="shared" si="11"/>
        <v>4000</v>
      </c>
      <c r="AF15" s="5">
        <v>4</v>
      </c>
      <c r="AG15" s="11">
        <f t="shared" si="12"/>
        <v>4000</v>
      </c>
      <c r="AH15" s="11">
        <f t="shared" si="13"/>
        <v>4000</v>
      </c>
      <c r="AI15" s="5">
        <v>4</v>
      </c>
      <c r="AJ15" s="11">
        <f t="shared" si="14"/>
        <v>4000</v>
      </c>
      <c r="AK15" s="11">
        <f t="shared" si="15"/>
        <v>4000</v>
      </c>
      <c r="AL15" s="5">
        <v>4</v>
      </c>
      <c r="AM15" s="11">
        <f t="shared" si="16"/>
        <v>4000</v>
      </c>
      <c r="AN15" s="11">
        <f t="shared" si="17"/>
        <v>4000</v>
      </c>
      <c r="AO15" s="5">
        <v>4</v>
      </c>
      <c r="AP15" s="11">
        <f t="shared" si="18"/>
        <v>4000</v>
      </c>
      <c r="AQ15" s="11">
        <f t="shared" si="19"/>
        <v>4000</v>
      </c>
      <c r="AR15" s="5">
        <v>4</v>
      </c>
      <c r="AS15" s="11">
        <f t="shared" si="20"/>
        <v>4000</v>
      </c>
      <c r="AT15" s="11">
        <f t="shared" si="21"/>
        <v>4000</v>
      </c>
      <c r="AU15" s="5">
        <v>4</v>
      </c>
      <c r="AV15" s="11">
        <f t="shared" si="22"/>
        <v>4000</v>
      </c>
      <c r="AW15" s="11">
        <f t="shared" si="23"/>
        <v>4000</v>
      </c>
      <c r="AX15" s="5">
        <v>4</v>
      </c>
      <c r="AY15" s="5">
        <v>0</v>
      </c>
      <c r="AZ15" s="11">
        <f t="shared" si="24"/>
        <v>48000</v>
      </c>
      <c r="BA15" s="11">
        <f t="shared" si="24"/>
        <v>48000</v>
      </c>
      <c r="BB15" s="5">
        <v>4</v>
      </c>
    </row>
    <row r="16" spans="1:55" s="6" customFormat="1">
      <c r="A16" s="7" t="s">
        <v>55</v>
      </c>
      <c r="B16" s="7" t="s">
        <v>56</v>
      </c>
      <c r="C16" s="7" t="s">
        <v>102</v>
      </c>
      <c r="D16" s="7" t="s">
        <v>108</v>
      </c>
      <c r="E16" s="7" t="s">
        <v>69</v>
      </c>
      <c r="F16" s="7">
        <v>36617006</v>
      </c>
      <c r="G16" s="7">
        <v>5842083202</v>
      </c>
      <c r="H16" s="7" t="s">
        <v>60</v>
      </c>
      <c r="I16" s="7" t="s">
        <v>109</v>
      </c>
      <c r="J16" s="7" t="s">
        <v>73</v>
      </c>
      <c r="K16" s="7" t="s">
        <v>79</v>
      </c>
      <c r="L16" s="7" t="s">
        <v>74</v>
      </c>
      <c r="M16" s="7"/>
      <c r="N16" s="7" t="s">
        <v>69</v>
      </c>
      <c r="O16" s="12">
        <f t="shared" si="0"/>
        <v>7000</v>
      </c>
      <c r="P16" s="12">
        <f t="shared" si="1"/>
        <v>7000</v>
      </c>
      <c r="Q16" s="7">
        <v>7</v>
      </c>
      <c r="R16" s="12">
        <f t="shared" si="2"/>
        <v>7000</v>
      </c>
      <c r="S16" s="12">
        <f t="shared" si="3"/>
        <v>7000</v>
      </c>
      <c r="T16" s="7">
        <v>7</v>
      </c>
      <c r="U16" s="12">
        <f t="shared" si="4"/>
        <v>7000</v>
      </c>
      <c r="V16" s="12">
        <f t="shared" si="5"/>
        <v>7000</v>
      </c>
      <c r="W16" s="7">
        <v>7</v>
      </c>
      <c r="X16" s="12">
        <f t="shared" si="6"/>
        <v>7000</v>
      </c>
      <c r="Y16" s="12">
        <f t="shared" si="7"/>
        <v>7000</v>
      </c>
      <c r="Z16" s="7">
        <v>7</v>
      </c>
      <c r="AA16" s="12">
        <f t="shared" si="8"/>
        <v>7000</v>
      </c>
      <c r="AB16" s="12">
        <f t="shared" si="9"/>
        <v>7000</v>
      </c>
      <c r="AC16" s="7">
        <v>7</v>
      </c>
      <c r="AD16" s="12">
        <f t="shared" si="10"/>
        <v>7000</v>
      </c>
      <c r="AE16" s="12">
        <f t="shared" si="11"/>
        <v>7000</v>
      </c>
      <c r="AF16" s="7">
        <v>7</v>
      </c>
      <c r="AG16" s="12">
        <f t="shared" si="12"/>
        <v>7000</v>
      </c>
      <c r="AH16" s="12">
        <f t="shared" si="13"/>
        <v>7000</v>
      </c>
      <c r="AI16" s="7">
        <v>7</v>
      </c>
      <c r="AJ16" s="12">
        <f t="shared" si="14"/>
        <v>7000</v>
      </c>
      <c r="AK16" s="12">
        <f t="shared" si="15"/>
        <v>7000</v>
      </c>
      <c r="AL16" s="7">
        <v>7</v>
      </c>
      <c r="AM16" s="12">
        <f t="shared" si="16"/>
        <v>7000</v>
      </c>
      <c r="AN16" s="12">
        <f t="shared" si="17"/>
        <v>7000</v>
      </c>
      <c r="AO16" s="7">
        <v>7</v>
      </c>
      <c r="AP16" s="12">
        <f t="shared" si="18"/>
        <v>7000</v>
      </c>
      <c r="AQ16" s="12">
        <f t="shared" si="19"/>
        <v>7000</v>
      </c>
      <c r="AR16" s="7">
        <v>7</v>
      </c>
      <c r="AS16" s="12">
        <f t="shared" si="20"/>
        <v>7000</v>
      </c>
      <c r="AT16" s="12">
        <f t="shared" si="21"/>
        <v>7000</v>
      </c>
      <c r="AU16" s="7">
        <v>7</v>
      </c>
      <c r="AV16" s="12">
        <f t="shared" si="22"/>
        <v>7000</v>
      </c>
      <c r="AW16" s="12">
        <f t="shared" si="23"/>
        <v>7000</v>
      </c>
      <c r="AX16" s="7">
        <v>7</v>
      </c>
      <c r="AY16" s="7">
        <v>0</v>
      </c>
      <c r="AZ16" s="12">
        <f t="shared" si="24"/>
        <v>84000</v>
      </c>
      <c r="BA16" s="12">
        <f t="shared" si="24"/>
        <v>84000</v>
      </c>
      <c r="BB16" s="7">
        <v>7</v>
      </c>
    </row>
    <row r="17" spans="1:54" s="4" customFormat="1">
      <c r="A17" s="5" t="s">
        <v>55</v>
      </c>
      <c r="B17" s="5" t="s">
        <v>56</v>
      </c>
      <c r="C17" s="5" t="s">
        <v>75</v>
      </c>
      <c r="D17" s="5" t="s">
        <v>110</v>
      </c>
      <c r="E17" s="5" t="s">
        <v>69</v>
      </c>
      <c r="F17" s="5">
        <v>38617002</v>
      </c>
      <c r="G17" s="5">
        <v>5842283202</v>
      </c>
      <c r="H17" s="5" t="s">
        <v>60</v>
      </c>
      <c r="I17" s="5" t="s">
        <v>111</v>
      </c>
      <c r="J17" s="5" t="s">
        <v>73</v>
      </c>
      <c r="K17" s="5" t="s">
        <v>79</v>
      </c>
      <c r="L17" s="5" t="s">
        <v>74</v>
      </c>
      <c r="M17" s="5"/>
      <c r="N17" s="5" t="s">
        <v>69</v>
      </c>
      <c r="O17" s="11">
        <f t="shared" si="0"/>
        <v>7000</v>
      </c>
      <c r="P17" s="11">
        <f t="shared" si="1"/>
        <v>7000</v>
      </c>
      <c r="Q17" s="5">
        <v>7</v>
      </c>
      <c r="R17" s="11">
        <f t="shared" si="2"/>
        <v>7000</v>
      </c>
      <c r="S17" s="11">
        <f t="shared" si="3"/>
        <v>7000</v>
      </c>
      <c r="T17" s="5">
        <v>7</v>
      </c>
      <c r="U17" s="11">
        <f t="shared" si="4"/>
        <v>7000</v>
      </c>
      <c r="V17" s="11">
        <f t="shared" si="5"/>
        <v>7000</v>
      </c>
      <c r="W17" s="5">
        <v>7</v>
      </c>
      <c r="X17" s="11">
        <f t="shared" si="6"/>
        <v>7000</v>
      </c>
      <c r="Y17" s="11">
        <f t="shared" si="7"/>
        <v>7000</v>
      </c>
      <c r="Z17" s="5">
        <v>7</v>
      </c>
      <c r="AA17" s="11">
        <f t="shared" si="8"/>
        <v>7000</v>
      </c>
      <c r="AB17" s="11">
        <f t="shared" si="9"/>
        <v>7000</v>
      </c>
      <c r="AC17" s="5">
        <v>7</v>
      </c>
      <c r="AD17" s="11">
        <f t="shared" si="10"/>
        <v>7000</v>
      </c>
      <c r="AE17" s="11">
        <f t="shared" si="11"/>
        <v>7000</v>
      </c>
      <c r="AF17" s="5">
        <v>7</v>
      </c>
      <c r="AG17" s="11">
        <f t="shared" si="12"/>
        <v>7000</v>
      </c>
      <c r="AH17" s="11">
        <f t="shared" si="13"/>
        <v>7000</v>
      </c>
      <c r="AI17" s="5">
        <v>7</v>
      </c>
      <c r="AJ17" s="11">
        <f t="shared" si="14"/>
        <v>7000</v>
      </c>
      <c r="AK17" s="11">
        <f t="shared" si="15"/>
        <v>7000</v>
      </c>
      <c r="AL17" s="5">
        <v>7</v>
      </c>
      <c r="AM17" s="11">
        <f t="shared" si="16"/>
        <v>7000</v>
      </c>
      <c r="AN17" s="11">
        <f t="shared" si="17"/>
        <v>7000</v>
      </c>
      <c r="AO17" s="5">
        <v>7</v>
      </c>
      <c r="AP17" s="11">
        <f t="shared" si="18"/>
        <v>7000</v>
      </c>
      <c r="AQ17" s="11">
        <f t="shared" si="19"/>
        <v>7000</v>
      </c>
      <c r="AR17" s="5">
        <v>7</v>
      </c>
      <c r="AS17" s="11">
        <f t="shared" si="20"/>
        <v>7000</v>
      </c>
      <c r="AT17" s="11">
        <f t="shared" si="21"/>
        <v>7000</v>
      </c>
      <c r="AU17" s="5">
        <v>7</v>
      </c>
      <c r="AV17" s="11">
        <f t="shared" si="22"/>
        <v>7000</v>
      </c>
      <c r="AW17" s="11">
        <f t="shared" si="23"/>
        <v>7000</v>
      </c>
      <c r="AX17" s="5">
        <v>7</v>
      </c>
      <c r="AY17" s="5">
        <v>0</v>
      </c>
      <c r="AZ17" s="11">
        <f t="shared" si="24"/>
        <v>84000</v>
      </c>
      <c r="BA17" s="11">
        <f t="shared" si="24"/>
        <v>84000</v>
      </c>
      <c r="BB17" s="5">
        <v>7</v>
      </c>
    </row>
    <row r="18" spans="1:54" s="6" customFormat="1">
      <c r="A18" s="7" t="s">
        <v>55</v>
      </c>
      <c r="B18" s="7" t="s">
        <v>56</v>
      </c>
      <c r="C18" s="7" t="s">
        <v>63</v>
      </c>
      <c r="D18" s="7" t="s">
        <v>114</v>
      </c>
      <c r="E18" s="7"/>
      <c r="F18" s="7">
        <v>129855</v>
      </c>
      <c r="G18" s="7">
        <v>5841813202</v>
      </c>
      <c r="H18" s="7" t="s">
        <v>60</v>
      </c>
      <c r="I18" s="7" t="s">
        <v>115</v>
      </c>
      <c r="J18" s="7" t="s">
        <v>73</v>
      </c>
      <c r="K18" s="7" t="s">
        <v>67</v>
      </c>
      <c r="L18" s="7" t="s">
        <v>74</v>
      </c>
      <c r="M18" s="7"/>
      <c r="N18" s="7" t="s">
        <v>69</v>
      </c>
      <c r="O18" s="12">
        <f t="shared" si="0"/>
        <v>3000</v>
      </c>
      <c r="P18" s="12">
        <f t="shared" si="1"/>
        <v>3000</v>
      </c>
      <c r="Q18" s="7">
        <v>3</v>
      </c>
      <c r="R18" s="12">
        <f t="shared" si="2"/>
        <v>3000</v>
      </c>
      <c r="S18" s="12">
        <f t="shared" si="3"/>
        <v>3000</v>
      </c>
      <c r="T18" s="7">
        <v>3</v>
      </c>
      <c r="U18" s="12">
        <f t="shared" si="4"/>
        <v>3000</v>
      </c>
      <c r="V18" s="12">
        <f t="shared" si="5"/>
        <v>3000</v>
      </c>
      <c r="W18" s="7">
        <v>3</v>
      </c>
      <c r="X18" s="12">
        <f t="shared" si="6"/>
        <v>3000</v>
      </c>
      <c r="Y18" s="12">
        <f t="shared" si="7"/>
        <v>3000</v>
      </c>
      <c r="Z18" s="7">
        <v>3</v>
      </c>
      <c r="AA18" s="12">
        <f t="shared" si="8"/>
        <v>3000</v>
      </c>
      <c r="AB18" s="12">
        <f t="shared" si="9"/>
        <v>3000</v>
      </c>
      <c r="AC18" s="7">
        <v>3</v>
      </c>
      <c r="AD18" s="12">
        <f t="shared" si="10"/>
        <v>3000</v>
      </c>
      <c r="AE18" s="12">
        <f t="shared" si="11"/>
        <v>3000</v>
      </c>
      <c r="AF18" s="7">
        <v>3</v>
      </c>
      <c r="AG18" s="12">
        <f t="shared" si="12"/>
        <v>3000</v>
      </c>
      <c r="AH18" s="12">
        <f t="shared" si="13"/>
        <v>3000</v>
      </c>
      <c r="AI18" s="7">
        <v>3</v>
      </c>
      <c r="AJ18" s="12">
        <f t="shared" si="14"/>
        <v>3000</v>
      </c>
      <c r="AK18" s="12">
        <f t="shared" si="15"/>
        <v>3000</v>
      </c>
      <c r="AL18" s="7">
        <v>3</v>
      </c>
      <c r="AM18" s="12">
        <f t="shared" si="16"/>
        <v>3000</v>
      </c>
      <c r="AN18" s="12">
        <f t="shared" si="17"/>
        <v>3000</v>
      </c>
      <c r="AO18" s="7">
        <v>3</v>
      </c>
      <c r="AP18" s="12">
        <f t="shared" si="18"/>
        <v>3000</v>
      </c>
      <c r="AQ18" s="12">
        <f t="shared" si="19"/>
        <v>3000</v>
      </c>
      <c r="AR18" s="7">
        <v>3</v>
      </c>
      <c r="AS18" s="12">
        <f t="shared" si="20"/>
        <v>3000</v>
      </c>
      <c r="AT18" s="12">
        <f t="shared" si="21"/>
        <v>3000</v>
      </c>
      <c r="AU18" s="7">
        <v>3</v>
      </c>
      <c r="AV18" s="12">
        <f t="shared" si="22"/>
        <v>3000</v>
      </c>
      <c r="AW18" s="12">
        <f t="shared" si="23"/>
        <v>3000</v>
      </c>
      <c r="AX18" s="7">
        <v>3</v>
      </c>
      <c r="AY18" s="7">
        <v>0</v>
      </c>
      <c r="AZ18" s="12">
        <f t="shared" si="24"/>
        <v>36000</v>
      </c>
      <c r="BA18" s="12">
        <f t="shared" si="24"/>
        <v>36000</v>
      </c>
      <c r="BB18" s="7">
        <v>3</v>
      </c>
    </row>
    <row r="19" spans="1:54" s="4" customFormat="1">
      <c r="A19" s="5" t="s">
        <v>55</v>
      </c>
      <c r="B19" s="5" t="s">
        <v>56</v>
      </c>
      <c r="C19" s="5" t="s">
        <v>116</v>
      </c>
      <c r="D19" s="5" t="s">
        <v>117</v>
      </c>
      <c r="E19" s="5"/>
      <c r="F19" s="5">
        <v>365477</v>
      </c>
      <c r="G19" s="5">
        <v>5841813202</v>
      </c>
      <c r="H19" s="5" t="s">
        <v>60</v>
      </c>
      <c r="I19" s="5" t="s">
        <v>118</v>
      </c>
      <c r="J19" s="5" t="s">
        <v>73</v>
      </c>
      <c r="K19" s="5" t="s">
        <v>67</v>
      </c>
      <c r="L19" s="5" t="s">
        <v>74</v>
      </c>
      <c r="M19" s="5"/>
      <c r="N19" s="5" t="s">
        <v>69</v>
      </c>
      <c r="O19" s="11">
        <f t="shared" si="0"/>
        <v>5000</v>
      </c>
      <c r="P19" s="11">
        <f t="shared" si="1"/>
        <v>5000</v>
      </c>
      <c r="Q19" s="5">
        <v>5</v>
      </c>
      <c r="R19" s="11">
        <f t="shared" si="2"/>
        <v>5000</v>
      </c>
      <c r="S19" s="11">
        <f t="shared" si="3"/>
        <v>5000</v>
      </c>
      <c r="T19" s="5">
        <v>5</v>
      </c>
      <c r="U19" s="11">
        <f t="shared" si="4"/>
        <v>5000</v>
      </c>
      <c r="V19" s="11">
        <f t="shared" si="5"/>
        <v>5000</v>
      </c>
      <c r="W19" s="5">
        <v>5</v>
      </c>
      <c r="X19" s="11">
        <f t="shared" si="6"/>
        <v>5000</v>
      </c>
      <c r="Y19" s="11">
        <f t="shared" si="7"/>
        <v>5000</v>
      </c>
      <c r="Z19" s="5">
        <v>5</v>
      </c>
      <c r="AA19" s="11">
        <f t="shared" si="8"/>
        <v>5000</v>
      </c>
      <c r="AB19" s="11">
        <f t="shared" si="9"/>
        <v>5000</v>
      </c>
      <c r="AC19" s="5">
        <v>5</v>
      </c>
      <c r="AD19" s="11">
        <f t="shared" si="10"/>
        <v>5000</v>
      </c>
      <c r="AE19" s="11">
        <f t="shared" si="11"/>
        <v>5000</v>
      </c>
      <c r="AF19" s="5">
        <v>5</v>
      </c>
      <c r="AG19" s="11">
        <f t="shared" si="12"/>
        <v>5000</v>
      </c>
      <c r="AH19" s="11">
        <f t="shared" si="13"/>
        <v>5000</v>
      </c>
      <c r="AI19" s="5">
        <v>5</v>
      </c>
      <c r="AJ19" s="11">
        <f t="shared" si="14"/>
        <v>5000</v>
      </c>
      <c r="AK19" s="11">
        <f t="shared" si="15"/>
        <v>5000</v>
      </c>
      <c r="AL19" s="5">
        <v>5</v>
      </c>
      <c r="AM19" s="11">
        <f t="shared" si="16"/>
        <v>5000</v>
      </c>
      <c r="AN19" s="11">
        <f t="shared" si="17"/>
        <v>5000</v>
      </c>
      <c r="AO19" s="5">
        <v>5</v>
      </c>
      <c r="AP19" s="11">
        <f t="shared" si="18"/>
        <v>5000</v>
      </c>
      <c r="AQ19" s="11">
        <f t="shared" si="19"/>
        <v>5000</v>
      </c>
      <c r="AR19" s="5">
        <v>5</v>
      </c>
      <c r="AS19" s="11">
        <f t="shared" si="20"/>
        <v>5000</v>
      </c>
      <c r="AT19" s="11">
        <f t="shared" si="21"/>
        <v>5000</v>
      </c>
      <c r="AU19" s="5">
        <v>5</v>
      </c>
      <c r="AV19" s="11">
        <f t="shared" si="22"/>
        <v>5000</v>
      </c>
      <c r="AW19" s="11">
        <f t="shared" si="23"/>
        <v>5000</v>
      </c>
      <c r="AX19" s="5">
        <v>5</v>
      </c>
      <c r="AY19" s="5">
        <v>0</v>
      </c>
      <c r="AZ19" s="11">
        <f t="shared" si="24"/>
        <v>60000</v>
      </c>
      <c r="BA19" s="11">
        <f t="shared" si="24"/>
        <v>60000</v>
      </c>
      <c r="BB19" s="5">
        <v>5</v>
      </c>
    </row>
    <row r="20" spans="1:54" s="6" customFormat="1">
      <c r="A20" s="7" t="s">
        <v>55</v>
      </c>
      <c r="B20" s="7" t="s">
        <v>56</v>
      </c>
      <c r="C20" s="7" t="s">
        <v>119</v>
      </c>
      <c r="D20" s="7" t="s">
        <v>120</v>
      </c>
      <c r="E20" s="7"/>
      <c r="F20" s="7" t="s">
        <v>121</v>
      </c>
      <c r="G20" s="7">
        <v>5841813202</v>
      </c>
      <c r="H20" s="7" t="s">
        <v>60</v>
      </c>
      <c r="I20" s="7" t="s">
        <v>121</v>
      </c>
      <c r="J20" s="7" t="s">
        <v>66</v>
      </c>
      <c r="K20" s="7" t="s">
        <v>67</v>
      </c>
      <c r="L20" s="7" t="s">
        <v>74</v>
      </c>
      <c r="M20" s="7"/>
      <c r="N20" s="7" t="s">
        <v>69</v>
      </c>
      <c r="O20" s="12">
        <f t="shared" si="0"/>
        <v>4000</v>
      </c>
      <c r="P20" s="12">
        <f t="shared" si="1"/>
        <v>4000</v>
      </c>
      <c r="Q20" s="7">
        <v>4</v>
      </c>
      <c r="R20" s="12">
        <f t="shared" si="2"/>
        <v>4000</v>
      </c>
      <c r="S20" s="12">
        <f t="shared" si="3"/>
        <v>4000</v>
      </c>
      <c r="T20" s="7">
        <v>4</v>
      </c>
      <c r="U20" s="12">
        <f t="shared" si="4"/>
        <v>4000</v>
      </c>
      <c r="V20" s="12">
        <f t="shared" si="5"/>
        <v>4000</v>
      </c>
      <c r="W20" s="7">
        <v>4</v>
      </c>
      <c r="X20" s="12">
        <f t="shared" si="6"/>
        <v>4000</v>
      </c>
      <c r="Y20" s="12">
        <f t="shared" si="7"/>
        <v>4000</v>
      </c>
      <c r="Z20" s="7">
        <v>4</v>
      </c>
      <c r="AA20" s="12">
        <f t="shared" si="8"/>
        <v>4000</v>
      </c>
      <c r="AB20" s="12">
        <f t="shared" si="9"/>
        <v>4000</v>
      </c>
      <c r="AC20" s="7">
        <v>4</v>
      </c>
      <c r="AD20" s="12">
        <f t="shared" si="10"/>
        <v>4000</v>
      </c>
      <c r="AE20" s="12">
        <f t="shared" si="11"/>
        <v>4000</v>
      </c>
      <c r="AF20" s="7">
        <v>4</v>
      </c>
      <c r="AG20" s="12">
        <f t="shared" si="12"/>
        <v>4000</v>
      </c>
      <c r="AH20" s="12">
        <f t="shared" si="13"/>
        <v>4000</v>
      </c>
      <c r="AI20" s="7">
        <v>4</v>
      </c>
      <c r="AJ20" s="12">
        <f t="shared" si="14"/>
        <v>4000</v>
      </c>
      <c r="AK20" s="12">
        <f t="shared" si="15"/>
        <v>4000</v>
      </c>
      <c r="AL20" s="7">
        <v>4</v>
      </c>
      <c r="AM20" s="12">
        <f t="shared" si="16"/>
        <v>4000</v>
      </c>
      <c r="AN20" s="12">
        <f t="shared" si="17"/>
        <v>4000</v>
      </c>
      <c r="AO20" s="7">
        <v>4</v>
      </c>
      <c r="AP20" s="12">
        <f t="shared" si="18"/>
        <v>4000</v>
      </c>
      <c r="AQ20" s="12">
        <f t="shared" si="19"/>
        <v>4000</v>
      </c>
      <c r="AR20" s="7">
        <v>4</v>
      </c>
      <c r="AS20" s="12">
        <f t="shared" si="20"/>
        <v>4000</v>
      </c>
      <c r="AT20" s="12">
        <f t="shared" si="21"/>
        <v>4000</v>
      </c>
      <c r="AU20" s="7">
        <v>4</v>
      </c>
      <c r="AV20" s="12">
        <f t="shared" si="22"/>
        <v>4000</v>
      </c>
      <c r="AW20" s="12">
        <f t="shared" si="23"/>
        <v>4000</v>
      </c>
      <c r="AX20" s="7">
        <v>4</v>
      </c>
      <c r="AY20" s="7">
        <v>0</v>
      </c>
      <c r="AZ20" s="12">
        <f t="shared" si="24"/>
        <v>48000</v>
      </c>
      <c r="BA20" s="12">
        <f t="shared" si="24"/>
        <v>48000</v>
      </c>
      <c r="BB20" s="7">
        <v>4</v>
      </c>
    </row>
    <row r="21" spans="1:54" s="4" customFormat="1">
      <c r="A21" s="5" t="s">
        <v>55</v>
      </c>
      <c r="B21" s="5" t="s">
        <v>56</v>
      </c>
      <c r="C21" s="5" t="s">
        <v>75</v>
      </c>
      <c r="D21" s="5" t="s">
        <v>122</v>
      </c>
      <c r="E21" s="5"/>
      <c r="F21" s="5">
        <v>38617005</v>
      </c>
      <c r="G21" s="5">
        <v>5841843202</v>
      </c>
      <c r="H21" s="5" t="s">
        <v>60</v>
      </c>
      <c r="I21" s="5" t="s">
        <v>123</v>
      </c>
      <c r="J21" s="5" t="s">
        <v>73</v>
      </c>
      <c r="K21" s="5" t="s">
        <v>79</v>
      </c>
      <c r="L21" s="5" t="s">
        <v>74</v>
      </c>
      <c r="M21" s="5"/>
      <c r="N21" s="5" t="s">
        <v>69</v>
      </c>
      <c r="O21" s="11">
        <f t="shared" si="0"/>
        <v>3000</v>
      </c>
      <c r="P21" s="11">
        <f t="shared" si="1"/>
        <v>3000</v>
      </c>
      <c r="Q21" s="5">
        <v>3</v>
      </c>
      <c r="R21" s="11">
        <f t="shared" si="2"/>
        <v>3000</v>
      </c>
      <c r="S21" s="11">
        <f t="shared" si="3"/>
        <v>3000</v>
      </c>
      <c r="T21" s="5">
        <v>3</v>
      </c>
      <c r="U21" s="11">
        <f t="shared" si="4"/>
        <v>3000</v>
      </c>
      <c r="V21" s="11">
        <f t="shared" si="5"/>
        <v>3000</v>
      </c>
      <c r="W21" s="5">
        <v>3</v>
      </c>
      <c r="X21" s="11">
        <f t="shared" si="6"/>
        <v>0</v>
      </c>
      <c r="Y21" s="11">
        <f t="shared" si="7"/>
        <v>0</v>
      </c>
      <c r="Z21" s="5">
        <v>0</v>
      </c>
      <c r="AA21" s="11">
        <f t="shared" si="8"/>
        <v>0</v>
      </c>
      <c r="AB21" s="11">
        <f t="shared" si="9"/>
        <v>0</v>
      </c>
      <c r="AC21" s="5">
        <v>0</v>
      </c>
      <c r="AD21" s="11">
        <f t="shared" si="10"/>
        <v>0</v>
      </c>
      <c r="AE21" s="11">
        <f t="shared" si="11"/>
        <v>0</v>
      </c>
      <c r="AF21" s="5">
        <v>0</v>
      </c>
      <c r="AG21" s="11">
        <f t="shared" si="12"/>
        <v>0</v>
      </c>
      <c r="AH21" s="11">
        <f t="shared" si="13"/>
        <v>0</v>
      </c>
      <c r="AI21" s="5">
        <v>0</v>
      </c>
      <c r="AJ21" s="11">
        <f t="shared" si="14"/>
        <v>0</v>
      </c>
      <c r="AK21" s="11">
        <f t="shared" si="15"/>
        <v>0</v>
      </c>
      <c r="AL21" s="5">
        <v>0</v>
      </c>
      <c r="AM21" s="11">
        <f t="shared" si="16"/>
        <v>0</v>
      </c>
      <c r="AN21" s="11">
        <f t="shared" si="17"/>
        <v>0</v>
      </c>
      <c r="AO21" s="5">
        <v>0</v>
      </c>
      <c r="AP21" s="11">
        <f t="shared" si="18"/>
        <v>0</v>
      </c>
      <c r="AQ21" s="11">
        <f t="shared" si="19"/>
        <v>0</v>
      </c>
      <c r="AR21" s="5">
        <v>0</v>
      </c>
      <c r="AS21" s="11">
        <f t="shared" si="20"/>
        <v>0</v>
      </c>
      <c r="AT21" s="11">
        <f t="shared" si="21"/>
        <v>0</v>
      </c>
      <c r="AU21" s="5">
        <v>0</v>
      </c>
      <c r="AV21" s="11">
        <f t="shared" si="22"/>
        <v>0</v>
      </c>
      <c r="AW21" s="11">
        <f t="shared" si="23"/>
        <v>0</v>
      </c>
      <c r="AX21" s="5">
        <v>0</v>
      </c>
      <c r="AY21" s="5">
        <v>0</v>
      </c>
      <c r="AZ21" s="11">
        <f t="shared" si="24"/>
        <v>9000</v>
      </c>
      <c r="BA21" s="11">
        <f t="shared" si="24"/>
        <v>9000</v>
      </c>
      <c r="BB21" s="5">
        <v>0.8</v>
      </c>
    </row>
    <row r="22" spans="1:54" s="6" customFormat="1">
      <c r="A22" s="7"/>
      <c r="B22" s="7"/>
      <c r="C22" s="7"/>
      <c r="D22" s="7"/>
      <c r="E22" s="7"/>
      <c r="F22" s="7"/>
      <c r="G22" s="7"/>
      <c r="H22" s="7" t="s">
        <v>124</v>
      </c>
      <c r="I22" s="7"/>
      <c r="J22" s="7"/>
      <c r="K22" s="7"/>
      <c r="L22" s="7"/>
      <c r="M22" s="7"/>
      <c r="N22" s="7"/>
      <c r="O22" s="12">
        <v>90545</v>
      </c>
      <c r="P22" s="12">
        <v>87178</v>
      </c>
      <c r="Q22" s="7">
        <v>91</v>
      </c>
      <c r="R22" s="12">
        <v>90545</v>
      </c>
      <c r="S22" s="12">
        <v>87178</v>
      </c>
      <c r="T22" s="7">
        <v>91</v>
      </c>
      <c r="U22" s="12">
        <v>90545</v>
      </c>
      <c r="V22" s="12">
        <v>87178</v>
      </c>
      <c r="W22" s="7">
        <v>91</v>
      </c>
      <c r="X22" s="12">
        <v>87560</v>
      </c>
      <c r="Y22" s="12">
        <v>84304</v>
      </c>
      <c r="Z22" s="7">
        <v>88</v>
      </c>
      <c r="AA22" s="12">
        <v>87560</v>
      </c>
      <c r="AB22" s="12">
        <v>84304</v>
      </c>
      <c r="AC22" s="7">
        <v>88</v>
      </c>
      <c r="AD22" s="12">
        <v>87560</v>
      </c>
      <c r="AE22" s="12">
        <v>84304</v>
      </c>
      <c r="AF22" s="7">
        <v>88</v>
      </c>
      <c r="AG22" s="12">
        <v>87560</v>
      </c>
      <c r="AH22" s="12">
        <v>84304</v>
      </c>
      <c r="AI22" s="7">
        <v>88</v>
      </c>
      <c r="AJ22" s="12">
        <v>87560</v>
      </c>
      <c r="AK22" s="12">
        <v>84304</v>
      </c>
      <c r="AL22" s="7">
        <v>88</v>
      </c>
      <c r="AM22" s="12">
        <v>87560</v>
      </c>
      <c r="AN22" s="12">
        <v>84304</v>
      </c>
      <c r="AO22" s="7">
        <v>88</v>
      </c>
      <c r="AP22" s="12">
        <v>87560</v>
      </c>
      <c r="AQ22" s="12">
        <v>84304</v>
      </c>
      <c r="AR22" s="7">
        <v>88</v>
      </c>
      <c r="AS22" s="12">
        <v>87560</v>
      </c>
      <c r="AT22" s="12">
        <v>84304</v>
      </c>
      <c r="AU22" s="7">
        <v>88</v>
      </c>
      <c r="AV22" s="12">
        <v>87560</v>
      </c>
      <c r="AW22" s="12">
        <v>84304</v>
      </c>
      <c r="AX22" s="7">
        <v>88</v>
      </c>
      <c r="AY22" s="7">
        <v>0</v>
      </c>
      <c r="AZ22" s="12">
        <v>1059675</v>
      </c>
      <c r="BA22" s="12">
        <v>1020270</v>
      </c>
      <c r="BB22" s="7">
        <v>88.8</v>
      </c>
    </row>
    <row r="23" spans="1:54" s="4" customFormat="1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11"/>
      <c r="P23" s="11"/>
      <c r="Q23" s="5"/>
      <c r="R23" s="11"/>
      <c r="S23" s="11"/>
      <c r="T23" s="5"/>
      <c r="U23" s="11"/>
      <c r="V23" s="11"/>
      <c r="W23" s="5"/>
      <c r="X23" s="11"/>
      <c r="Y23" s="11"/>
      <c r="Z23" s="5"/>
      <c r="AA23" s="11"/>
      <c r="AB23" s="11"/>
      <c r="AC23" s="5"/>
      <c r="AD23" s="11"/>
      <c r="AE23" s="11"/>
      <c r="AF23" s="5"/>
      <c r="AG23" s="11"/>
      <c r="AH23" s="11"/>
      <c r="AI23" s="5"/>
      <c r="AJ23" s="11"/>
      <c r="AK23" s="11"/>
      <c r="AL23" s="5"/>
      <c r="AM23" s="11"/>
      <c r="AN23" s="11"/>
      <c r="AO23" s="5"/>
      <c r="AP23" s="11"/>
      <c r="AQ23" s="11"/>
      <c r="AR23" s="5"/>
      <c r="AS23" s="11"/>
      <c r="AT23" s="11"/>
      <c r="AU23" s="5"/>
      <c r="AV23" s="11"/>
      <c r="AW23" s="11"/>
      <c r="AX23" s="5"/>
      <c r="AY23" s="5"/>
      <c r="AZ23" s="11"/>
      <c r="BA23" s="11"/>
      <c r="BB23" s="5"/>
    </row>
    <row r="24" spans="1:54" s="6" customFormat="1">
      <c r="A24" s="7" t="s">
        <v>55</v>
      </c>
      <c r="B24" s="7" t="s">
        <v>56</v>
      </c>
      <c r="C24" s="7" t="s">
        <v>63</v>
      </c>
      <c r="D24" s="7" t="s">
        <v>64</v>
      </c>
      <c r="E24" s="7"/>
      <c r="F24" s="7" t="s">
        <v>65</v>
      </c>
      <c r="G24" s="7">
        <v>5841813202</v>
      </c>
      <c r="H24" s="7" t="s">
        <v>60</v>
      </c>
      <c r="I24" s="7" t="s">
        <v>65</v>
      </c>
      <c r="J24" s="7" t="s">
        <v>66</v>
      </c>
      <c r="K24" s="7" t="s">
        <v>67</v>
      </c>
      <c r="L24" s="7" t="s">
        <v>68</v>
      </c>
      <c r="M24" s="7"/>
      <c r="N24" s="7" t="s">
        <v>69</v>
      </c>
      <c r="O24" s="12">
        <f>Q24*1000</f>
        <v>3000</v>
      </c>
      <c r="P24" s="12">
        <f>Q24*1000</f>
        <v>3000</v>
      </c>
      <c r="Q24" s="7">
        <v>3</v>
      </c>
      <c r="R24" s="12">
        <f>T24*1000</f>
        <v>3000</v>
      </c>
      <c r="S24" s="12">
        <f>T24*1000</f>
        <v>3000</v>
      </c>
      <c r="T24" s="7">
        <v>3</v>
      </c>
      <c r="U24" s="12">
        <f>W24*1000</f>
        <v>3000</v>
      </c>
      <c r="V24" s="12">
        <f>W24*1000</f>
        <v>3000</v>
      </c>
      <c r="W24" s="7">
        <v>3</v>
      </c>
      <c r="X24" s="12">
        <f>Z24*1000</f>
        <v>3000</v>
      </c>
      <c r="Y24" s="12">
        <f>Z24*1000</f>
        <v>3000</v>
      </c>
      <c r="Z24" s="7">
        <v>3</v>
      </c>
      <c r="AA24" s="12">
        <f>AC24*1000</f>
        <v>3000</v>
      </c>
      <c r="AB24" s="12">
        <f>AC24*1000</f>
        <v>3000</v>
      </c>
      <c r="AC24" s="7">
        <v>3</v>
      </c>
      <c r="AD24" s="12">
        <f>AF24*1000</f>
        <v>3000</v>
      </c>
      <c r="AE24" s="12">
        <f>AF24*1000</f>
        <v>3000</v>
      </c>
      <c r="AF24" s="7">
        <v>3</v>
      </c>
      <c r="AG24" s="12">
        <f>AI24*1000</f>
        <v>3000</v>
      </c>
      <c r="AH24" s="12">
        <f>AI24*1000</f>
        <v>3000</v>
      </c>
      <c r="AI24" s="7">
        <v>3</v>
      </c>
      <c r="AJ24" s="12">
        <f>AL24*1000</f>
        <v>3000</v>
      </c>
      <c r="AK24" s="12">
        <f>AL24*1000</f>
        <v>3000</v>
      </c>
      <c r="AL24" s="7">
        <v>3</v>
      </c>
      <c r="AM24" s="12">
        <f>AO24*1000</f>
        <v>3000</v>
      </c>
      <c r="AN24" s="12">
        <f>AO24*1000</f>
        <v>3000</v>
      </c>
      <c r="AO24" s="7">
        <v>3</v>
      </c>
      <c r="AP24" s="12">
        <f>AR24*1000</f>
        <v>3000</v>
      </c>
      <c r="AQ24" s="12">
        <f>AR24*1000</f>
        <v>3000</v>
      </c>
      <c r="AR24" s="7">
        <v>3</v>
      </c>
      <c r="AS24" s="12">
        <f>AU24*1000</f>
        <v>3000</v>
      </c>
      <c r="AT24" s="12">
        <f>AU24*1000</f>
        <v>3000</v>
      </c>
      <c r="AU24" s="7">
        <v>3</v>
      </c>
      <c r="AV24" s="12">
        <f>AX24*1000</f>
        <v>3000</v>
      </c>
      <c r="AW24" s="12">
        <f>AX24*1000</f>
        <v>3000</v>
      </c>
      <c r="AX24" s="7">
        <v>3</v>
      </c>
      <c r="AY24" s="7">
        <v>0</v>
      </c>
      <c r="AZ24" s="12">
        <f>SUM(O24,R24,U24,X24,AA24,AD24,AG24,AJ24,AM24,AP24,AS24,AV24)</f>
        <v>36000</v>
      </c>
      <c r="BA24" s="12">
        <f>SUM(P24,S24,V24,Y24,AB24,AE24,AH24,AK24,AN24,AQ24,AT24,AW24)</f>
        <v>36000</v>
      </c>
      <c r="BB24" s="7">
        <v>3</v>
      </c>
    </row>
    <row r="25" spans="1:54" s="4" customFormat="1">
      <c r="A25" s="5" t="s">
        <v>55</v>
      </c>
      <c r="B25" s="5" t="s">
        <v>56</v>
      </c>
      <c r="C25" s="5" t="s">
        <v>105</v>
      </c>
      <c r="D25" s="5" t="s">
        <v>106</v>
      </c>
      <c r="E25" s="5"/>
      <c r="F25" s="5" t="s">
        <v>107</v>
      </c>
      <c r="G25" s="5">
        <v>5842263202</v>
      </c>
      <c r="H25" s="5" t="s">
        <v>60</v>
      </c>
      <c r="I25" s="5" t="s">
        <v>107</v>
      </c>
      <c r="J25" s="5" t="s">
        <v>66</v>
      </c>
      <c r="K25" s="5" t="s">
        <v>79</v>
      </c>
      <c r="L25" s="5" t="s">
        <v>74</v>
      </c>
      <c r="M25" s="5"/>
      <c r="N25" s="5" t="s">
        <v>69</v>
      </c>
      <c r="O25" s="11">
        <f>Q25*1000</f>
        <v>5000</v>
      </c>
      <c r="P25" s="11">
        <f>Q25*1000</f>
        <v>5000</v>
      </c>
      <c r="Q25" s="5">
        <v>5</v>
      </c>
      <c r="R25" s="11">
        <f>T25*1000</f>
        <v>5000</v>
      </c>
      <c r="S25" s="11">
        <f>T25*1000</f>
        <v>5000</v>
      </c>
      <c r="T25" s="5">
        <v>5</v>
      </c>
      <c r="U25" s="11">
        <f>W25*1000</f>
        <v>5000</v>
      </c>
      <c r="V25" s="11">
        <f>W25*1000</f>
        <v>5000</v>
      </c>
      <c r="W25" s="5">
        <v>5</v>
      </c>
      <c r="X25" s="11">
        <f>Z25*1000</f>
        <v>5000</v>
      </c>
      <c r="Y25" s="11">
        <f>Z25*1000</f>
        <v>5000</v>
      </c>
      <c r="Z25" s="5">
        <v>5</v>
      </c>
      <c r="AA25" s="11">
        <f>AC25*1000</f>
        <v>5000</v>
      </c>
      <c r="AB25" s="11">
        <f>AC25*1000</f>
        <v>5000</v>
      </c>
      <c r="AC25" s="5">
        <v>5</v>
      </c>
      <c r="AD25" s="11">
        <f>AF25*1000</f>
        <v>5000</v>
      </c>
      <c r="AE25" s="11">
        <f>AF25*1000</f>
        <v>5000</v>
      </c>
      <c r="AF25" s="5">
        <v>5</v>
      </c>
      <c r="AG25" s="11">
        <f>AI25*1000</f>
        <v>5000</v>
      </c>
      <c r="AH25" s="11">
        <f>AI25*1000</f>
        <v>5000</v>
      </c>
      <c r="AI25" s="5">
        <v>5</v>
      </c>
      <c r="AJ25" s="11">
        <f>AL25*1000</f>
        <v>5000</v>
      </c>
      <c r="AK25" s="11">
        <f>AL25*1000</f>
        <v>5000</v>
      </c>
      <c r="AL25" s="5">
        <v>5</v>
      </c>
      <c r="AM25" s="11">
        <f>AO25*1000</f>
        <v>5000</v>
      </c>
      <c r="AN25" s="11">
        <f>AO25*1000</f>
        <v>5000</v>
      </c>
      <c r="AO25" s="5">
        <v>5</v>
      </c>
      <c r="AP25" s="11">
        <f>AR25*1000</f>
        <v>5000</v>
      </c>
      <c r="AQ25" s="11">
        <f>AR25*1000</f>
        <v>5000</v>
      </c>
      <c r="AR25" s="5">
        <v>5</v>
      </c>
      <c r="AS25" s="11">
        <f>AU25*1000</f>
        <v>5000</v>
      </c>
      <c r="AT25" s="11">
        <f>AU25*1000</f>
        <v>5000</v>
      </c>
      <c r="AU25" s="5">
        <v>5</v>
      </c>
      <c r="AV25" s="11">
        <f>AX25*1000</f>
        <v>5000</v>
      </c>
      <c r="AW25" s="11">
        <f>AX25*1000</f>
        <v>5000</v>
      </c>
      <c r="AX25" s="5">
        <v>5</v>
      </c>
      <c r="AY25" s="5">
        <v>0</v>
      </c>
      <c r="AZ25" s="11">
        <f>SUM(O25,R25,U25,X25,AA25,AD25,AG25,AJ25,AM25,AP25,AS25,AV25)</f>
        <v>60000</v>
      </c>
      <c r="BA25" s="11">
        <f>SUM(P25,S25,V25,Y25,AB25,AE25,AH25,AK25,AN25,AQ25,AT25,AW25)</f>
        <v>60000</v>
      </c>
      <c r="BB25" s="5">
        <v>5</v>
      </c>
    </row>
    <row r="26" spans="1:54" s="6" customFormat="1">
      <c r="A26" s="7"/>
      <c r="B26" s="7"/>
      <c r="C26" s="7"/>
      <c r="D26" s="7"/>
      <c r="E26" s="7"/>
      <c r="F26" s="7"/>
      <c r="G26" s="7"/>
      <c r="H26" s="7" t="s">
        <v>124</v>
      </c>
      <c r="I26" s="7"/>
      <c r="J26" s="7"/>
      <c r="K26" s="7"/>
      <c r="L26" s="7"/>
      <c r="M26" s="7"/>
      <c r="N26" s="7"/>
      <c r="O26" s="12">
        <v>7960</v>
      </c>
      <c r="P26" s="12">
        <v>7664</v>
      </c>
      <c r="Q26" s="7">
        <v>8</v>
      </c>
      <c r="R26" s="12">
        <v>7960</v>
      </c>
      <c r="S26" s="12">
        <v>7664</v>
      </c>
      <c r="T26" s="7">
        <v>8</v>
      </c>
      <c r="U26" s="12">
        <v>7960</v>
      </c>
      <c r="V26" s="12">
        <v>7664</v>
      </c>
      <c r="W26" s="7">
        <v>8</v>
      </c>
      <c r="X26" s="12">
        <v>7960</v>
      </c>
      <c r="Y26" s="12">
        <v>7664</v>
      </c>
      <c r="Z26" s="7">
        <v>8</v>
      </c>
      <c r="AA26" s="12">
        <v>7960</v>
      </c>
      <c r="AB26" s="12">
        <v>7664</v>
      </c>
      <c r="AC26" s="7">
        <v>8</v>
      </c>
      <c r="AD26" s="12">
        <v>7960</v>
      </c>
      <c r="AE26" s="12">
        <v>7664</v>
      </c>
      <c r="AF26" s="7">
        <v>8</v>
      </c>
      <c r="AG26" s="12">
        <v>7960</v>
      </c>
      <c r="AH26" s="12">
        <v>7664</v>
      </c>
      <c r="AI26" s="7">
        <v>8</v>
      </c>
      <c r="AJ26" s="12">
        <v>7960</v>
      </c>
      <c r="AK26" s="12">
        <v>7664</v>
      </c>
      <c r="AL26" s="7">
        <v>8</v>
      </c>
      <c r="AM26" s="12">
        <v>7960</v>
      </c>
      <c r="AN26" s="12">
        <v>7664</v>
      </c>
      <c r="AO26" s="7">
        <v>8</v>
      </c>
      <c r="AP26" s="12">
        <v>7960</v>
      </c>
      <c r="AQ26" s="12">
        <v>7664</v>
      </c>
      <c r="AR26" s="7">
        <v>8</v>
      </c>
      <c r="AS26" s="12">
        <v>7960</v>
      </c>
      <c r="AT26" s="12">
        <v>7664</v>
      </c>
      <c r="AU26" s="7">
        <v>8</v>
      </c>
      <c r="AV26" s="12">
        <v>7960</v>
      </c>
      <c r="AW26" s="12">
        <v>7664</v>
      </c>
      <c r="AX26" s="7">
        <v>8</v>
      </c>
      <c r="AY26" s="7">
        <v>0</v>
      </c>
      <c r="AZ26" s="12">
        <v>95520</v>
      </c>
      <c r="BA26" s="12">
        <v>91968</v>
      </c>
      <c r="BB26" s="7">
        <v>8</v>
      </c>
    </row>
    <row r="27" spans="1:54" s="4" customFormat="1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11"/>
      <c r="P27" s="11"/>
      <c r="Q27" s="5"/>
      <c r="R27" s="11"/>
      <c r="S27" s="11"/>
      <c r="T27" s="5"/>
      <c r="U27" s="11"/>
      <c r="V27" s="11"/>
      <c r="W27" s="5"/>
      <c r="X27" s="11"/>
      <c r="Y27" s="11"/>
      <c r="Z27" s="5"/>
      <c r="AA27" s="11"/>
      <c r="AB27" s="11"/>
      <c r="AC27" s="5"/>
      <c r="AD27" s="11"/>
      <c r="AE27" s="11"/>
      <c r="AF27" s="5"/>
      <c r="AG27" s="11"/>
      <c r="AH27" s="11"/>
      <c r="AI27" s="5"/>
      <c r="AJ27" s="11"/>
      <c r="AK27" s="11"/>
      <c r="AL27" s="5"/>
      <c r="AM27" s="11"/>
      <c r="AN27" s="11"/>
      <c r="AO27" s="5"/>
      <c r="AP27" s="11"/>
      <c r="AQ27" s="11"/>
      <c r="AR27" s="5"/>
      <c r="AS27" s="11"/>
      <c r="AT27" s="11"/>
      <c r="AU27" s="5"/>
      <c r="AV27" s="11"/>
      <c r="AW27" s="11"/>
      <c r="AX27" s="5"/>
      <c r="AY27" s="5"/>
      <c r="AZ27" s="11"/>
      <c r="BA27" s="11"/>
      <c r="BB27" s="5"/>
    </row>
    <row r="28" spans="1:54" s="6" customFormat="1">
      <c r="A28" s="7" t="s">
        <v>55</v>
      </c>
      <c r="B28" s="7" t="s">
        <v>56</v>
      </c>
      <c r="C28" s="7" t="s">
        <v>63</v>
      </c>
      <c r="D28" s="7" t="s">
        <v>112</v>
      </c>
      <c r="E28" s="7"/>
      <c r="F28" s="7" t="s">
        <v>113</v>
      </c>
      <c r="G28" s="7">
        <v>5841813202</v>
      </c>
      <c r="H28" s="7" t="s">
        <v>60</v>
      </c>
      <c r="I28" s="7" t="s">
        <v>113</v>
      </c>
      <c r="J28" s="7" t="s">
        <v>66</v>
      </c>
      <c r="K28" s="7" t="s">
        <v>67</v>
      </c>
      <c r="L28" s="7" t="s">
        <v>68</v>
      </c>
      <c r="M28" s="7"/>
      <c r="N28" s="7" t="s">
        <v>69</v>
      </c>
      <c r="O28" s="12">
        <f>Q28*1000</f>
        <v>3000</v>
      </c>
      <c r="P28" s="12">
        <f>Q28*1000</f>
        <v>3000</v>
      </c>
      <c r="Q28" s="7">
        <v>3</v>
      </c>
      <c r="R28" s="12">
        <f>T28*1000</f>
        <v>3000</v>
      </c>
      <c r="S28" s="12">
        <f>T28*1000</f>
        <v>3000</v>
      </c>
      <c r="T28" s="7">
        <v>3</v>
      </c>
      <c r="U28" s="12">
        <f>W28*1000</f>
        <v>3000</v>
      </c>
      <c r="V28" s="12">
        <f>W28*1000</f>
        <v>3000</v>
      </c>
      <c r="W28" s="7">
        <v>3</v>
      </c>
      <c r="X28" s="12">
        <f>Z28*1000</f>
        <v>3000</v>
      </c>
      <c r="Y28" s="12">
        <f>Z28*1000</f>
        <v>3000</v>
      </c>
      <c r="Z28" s="7">
        <v>3</v>
      </c>
      <c r="AA28" s="12">
        <f>AC28*1000</f>
        <v>3000</v>
      </c>
      <c r="AB28" s="12">
        <f>AC28*1000</f>
        <v>3000</v>
      </c>
      <c r="AC28" s="7">
        <v>3</v>
      </c>
      <c r="AD28" s="12">
        <f>AF28*1000</f>
        <v>3000</v>
      </c>
      <c r="AE28" s="12">
        <f>AF28*1000</f>
        <v>3000</v>
      </c>
      <c r="AF28" s="7">
        <v>3</v>
      </c>
      <c r="AG28" s="12">
        <f>AI28*1000</f>
        <v>3000</v>
      </c>
      <c r="AH28" s="12">
        <f>AI28*1000</f>
        <v>3000</v>
      </c>
      <c r="AI28" s="7">
        <v>3</v>
      </c>
      <c r="AJ28" s="12">
        <f>AL28*1000</f>
        <v>3000</v>
      </c>
      <c r="AK28" s="12">
        <f>AL28*1000</f>
        <v>3000</v>
      </c>
      <c r="AL28" s="7">
        <v>3</v>
      </c>
      <c r="AM28" s="12">
        <f>AO28*1000</f>
        <v>3000</v>
      </c>
      <c r="AN28" s="12">
        <f>AO28*1000</f>
        <v>3000</v>
      </c>
      <c r="AO28" s="7">
        <v>3</v>
      </c>
      <c r="AP28" s="12">
        <f>AR28*1000</f>
        <v>3000</v>
      </c>
      <c r="AQ28" s="12">
        <f>AR28*1000</f>
        <v>3000</v>
      </c>
      <c r="AR28" s="7">
        <v>3</v>
      </c>
      <c r="AS28" s="12">
        <f>AU28*1000</f>
        <v>3000</v>
      </c>
      <c r="AT28" s="12">
        <f>AU28*1000</f>
        <v>3000</v>
      </c>
      <c r="AU28" s="7">
        <v>3</v>
      </c>
      <c r="AV28" s="12">
        <f>AX28*1000</f>
        <v>3000</v>
      </c>
      <c r="AW28" s="12">
        <f>AX28*1000</f>
        <v>3000</v>
      </c>
      <c r="AX28" s="7">
        <v>3</v>
      </c>
      <c r="AY28" s="7">
        <v>0</v>
      </c>
      <c r="AZ28" s="12">
        <f>SUM(O28,R28,U28,X28,AA28,AD28,AG28,AJ28,AM28,AP28,AS28,AV28)</f>
        <v>36000</v>
      </c>
      <c r="BA28" s="12">
        <f>SUM(P28,S28,V28,Y28,AB28,AE28,AH28,AK28,AN28,AQ28,AT28,AW28)</f>
        <v>36000</v>
      </c>
      <c r="BB28" s="7">
        <v>3</v>
      </c>
    </row>
    <row r="29" spans="1:54" s="4" customFormat="1">
      <c r="A29" s="5"/>
      <c r="B29" s="5"/>
      <c r="C29" s="5"/>
      <c r="D29" s="5"/>
      <c r="E29" s="5"/>
      <c r="F29" s="5"/>
      <c r="G29" s="5"/>
      <c r="H29" s="5" t="s">
        <v>124</v>
      </c>
      <c r="I29" s="5"/>
      <c r="J29" s="5"/>
      <c r="K29" s="5"/>
      <c r="L29" s="5"/>
      <c r="M29" s="5"/>
      <c r="N29" s="5"/>
      <c r="O29" s="11">
        <v>2985</v>
      </c>
      <c r="P29" s="11">
        <v>2874</v>
      </c>
      <c r="Q29" s="5">
        <v>3</v>
      </c>
      <c r="R29" s="11">
        <v>2985</v>
      </c>
      <c r="S29" s="11">
        <v>2874</v>
      </c>
      <c r="T29" s="5">
        <v>3</v>
      </c>
      <c r="U29" s="11">
        <v>2985</v>
      </c>
      <c r="V29" s="11">
        <v>2874</v>
      </c>
      <c r="W29" s="5">
        <v>3</v>
      </c>
      <c r="X29" s="11">
        <v>2985</v>
      </c>
      <c r="Y29" s="11">
        <v>2874</v>
      </c>
      <c r="Z29" s="5">
        <v>3</v>
      </c>
      <c r="AA29" s="11">
        <v>2985</v>
      </c>
      <c r="AB29" s="11">
        <v>2874</v>
      </c>
      <c r="AC29" s="5">
        <v>3</v>
      </c>
      <c r="AD29" s="11">
        <v>2985</v>
      </c>
      <c r="AE29" s="11">
        <v>2874</v>
      </c>
      <c r="AF29" s="5">
        <v>3</v>
      </c>
      <c r="AG29" s="11">
        <v>2985</v>
      </c>
      <c r="AH29" s="11">
        <v>2874</v>
      </c>
      <c r="AI29" s="5">
        <v>3</v>
      </c>
      <c r="AJ29" s="11">
        <v>2985</v>
      </c>
      <c r="AK29" s="11">
        <v>2874</v>
      </c>
      <c r="AL29" s="5">
        <v>3</v>
      </c>
      <c r="AM29" s="11">
        <v>2985</v>
      </c>
      <c r="AN29" s="11">
        <v>2874</v>
      </c>
      <c r="AO29" s="5">
        <v>3</v>
      </c>
      <c r="AP29" s="11">
        <v>2985</v>
      </c>
      <c r="AQ29" s="11">
        <v>2874</v>
      </c>
      <c r="AR29" s="5">
        <v>3</v>
      </c>
      <c r="AS29" s="11">
        <v>2985</v>
      </c>
      <c r="AT29" s="11">
        <v>2874</v>
      </c>
      <c r="AU29" s="5">
        <v>3</v>
      </c>
      <c r="AV29" s="11">
        <v>2985</v>
      </c>
      <c r="AW29" s="11">
        <v>2874</v>
      </c>
      <c r="AX29" s="5">
        <v>3</v>
      </c>
      <c r="AY29" s="5">
        <v>0</v>
      </c>
      <c r="AZ29" s="11">
        <v>35820</v>
      </c>
      <c r="BA29" s="11">
        <v>34488</v>
      </c>
      <c r="BB29" s="5">
        <v>3</v>
      </c>
    </row>
    <row r="31" spans="1:54"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</row>
    <row r="33" spans="15:54"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</row>
  </sheetData>
  <mergeCells count="1">
    <mergeCell ref="A1:BC1"/>
  </mergeCells>
  <phoneticPr fontId="25" type="noConversion"/>
  <pageMargins left="0.75" right="0.75" top="1" bottom="1" header="0.5" footer="0.5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1FA95-8C92-A846-BEDA-97035D206B13}">
  <sheetPr codeName="Sheet3"/>
  <dimension ref="A1:BE27"/>
  <sheetViews>
    <sheetView showGridLines="0" zoomScale="150" workbookViewId="0">
      <selection activeCell="A29" sqref="A29"/>
    </sheetView>
  </sheetViews>
  <sheetFormatPr defaultColWidth="8.83203125" defaultRowHeight="14"/>
  <cols>
    <col min="3" max="3" width="5.1640625" bestFit="1" customWidth="1"/>
    <col min="4" max="4" width="6.83203125" bestFit="1" customWidth="1"/>
    <col min="5" max="5" width="5.1640625" bestFit="1" customWidth="1"/>
    <col min="6" max="6" width="15.6640625" bestFit="1" customWidth="1"/>
    <col min="7" max="7" width="13.5" bestFit="1" customWidth="1"/>
    <col min="8" max="9" width="17" bestFit="1" customWidth="1"/>
    <col min="10" max="10" width="10.83203125" bestFit="1" customWidth="1"/>
    <col min="11" max="11" width="17" bestFit="1" customWidth="1"/>
    <col min="12" max="12" width="12.5" bestFit="1" customWidth="1"/>
    <col min="13" max="13" width="11.5" bestFit="1" customWidth="1"/>
    <col min="14" max="14" width="10.6640625" bestFit="1" customWidth="1"/>
    <col min="15" max="15" width="4" bestFit="1" customWidth="1"/>
    <col min="16" max="16" width="9.33203125" bestFit="1" customWidth="1"/>
    <col min="17" max="17" width="10.5" bestFit="1" customWidth="1"/>
    <col min="18" max="18" width="10" bestFit="1" customWidth="1"/>
    <col min="19" max="19" width="6.5" bestFit="1" customWidth="1"/>
    <col min="20" max="20" width="10.5" bestFit="1" customWidth="1"/>
    <col min="21" max="21" width="10" bestFit="1" customWidth="1"/>
    <col min="22" max="22" width="6.5" bestFit="1" customWidth="1"/>
    <col min="23" max="23" width="10.5" bestFit="1" customWidth="1"/>
    <col min="24" max="24" width="10" bestFit="1" customWidth="1"/>
    <col min="25" max="25" width="6.5" bestFit="1" customWidth="1"/>
    <col min="26" max="27" width="9.83203125" bestFit="1" customWidth="1"/>
    <col min="28" max="28" width="7.33203125" bestFit="1" customWidth="1"/>
    <col min="29" max="30" width="9.83203125" bestFit="1" customWidth="1"/>
    <col min="31" max="31" width="7.33203125" bestFit="1" customWidth="1"/>
    <col min="32" max="33" width="9.83203125" bestFit="1" customWidth="1"/>
    <col min="34" max="34" width="7.33203125" bestFit="1" customWidth="1"/>
    <col min="35" max="36" width="9.83203125" bestFit="1" customWidth="1"/>
    <col min="37" max="37" width="6.33203125" bestFit="1" customWidth="1"/>
    <col min="38" max="39" width="9.83203125" bestFit="1" customWidth="1"/>
    <col min="40" max="40" width="6.33203125" bestFit="1" customWidth="1"/>
    <col min="41" max="42" width="9.83203125" bestFit="1" customWidth="1"/>
    <col min="43" max="43" width="6.33203125" bestFit="1" customWidth="1"/>
    <col min="44" max="45" width="9.83203125" bestFit="1" customWidth="1"/>
    <col min="46" max="46" width="6.33203125" bestFit="1" customWidth="1"/>
    <col min="47" max="48" width="9.83203125" bestFit="1" customWidth="1"/>
    <col min="49" max="49" width="6.33203125" bestFit="1" customWidth="1"/>
    <col min="50" max="51" width="9.83203125" bestFit="1" customWidth="1"/>
    <col min="52" max="52" width="6.33203125" bestFit="1" customWidth="1"/>
    <col min="53" max="53" width="9.33203125" bestFit="1" customWidth="1"/>
    <col min="54" max="55" width="13.5" bestFit="1" customWidth="1"/>
    <col min="56" max="56" width="9.5" bestFit="1" customWidth="1"/>
  </cols>
  <sheetData>
    <row r="1" spans="1:57" s="1" customFormat="1">
      <c r="C1" s="29" t="s">
        <v>129</v>
      </c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N1" s="29"/>
      <c r="AO1" s="29"/>
      <c r="AP1" s="29"/>
      <c r="AQ1" s="29"/>
      <c r="AR1" s="29"/>
      <c r="AS1" s="29"/>
      <c r="AT1" s="29"/>
      <c r="AU1" s="29"/>
      <c r="AV1" s="29"/>
      <c r="AW1" s="29"/>
      <c r="AX1" s="29"/>
      <c r="AY1" s="29"/>
      <c r="AZ1" s="29"/>
      <c r="BA1" s="29"/>
      <c r="BB1" s="29"/>
      <c r="BC1" s="29"/>
      <c r="BD1" s="29"/>
      <c r="BE1" s="29"/>
    </row>
    <row r="2" spans="1:57" s="1" customFormat="1">
      <c r="A2" s="1" t="s">
        <v>128</v>
      </c>
      <c r="B2" s="1" t="s">
        <v>55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2" t="s">
        <v>11</v>
      </c>
      <c r="N2" s="2" t="s">
        <v>12</v>
      </c>
      <c r="O2" s="2" t="s">
        <v>13</v>
      </c>
      <c r="P2" s="2" t="s">
        <v>14</v>
      </c>
      <c r="Q2" s="2" t="s">
        <v>15</v>
      </c>
      <c r="R2" s="2" t="s">
        <v>16</v>
      </c>
      <c r="S2" s="2" t="s">
        <v>17</v>
      </c>
      <c r="T2" s="2" t="s">
        <v>18</v>
      </c>
      <c r="U2" s="2" t="s">
        <v>19</v>
      </c>
      <c r="V2" s="2" t="s">
        <v>20</v>
      </c>
      <c r="W2" s="2" t="s">
        <v>21</v>
      </c>
      <c r="X2" s="2" t="s">
        <v>22</v>
      </c>
      <c r="Y2" s="2" t="s">
        <v>23</v>
      </c>
      <c r="Z2" s="2" t="s">
        <v>24</v>
      </c>
      <c r="AA2" s="2" t="s">
        <v>25</v>
      </c>
      <c r="AB2" s="2" t="s">
        <v>26</v>
      </c>
      <c r="AC2" s="2" t="s">
        <v>27</v>
      </c>
      <c r="AD2" s="2" t="s">
        <v>28</v>
      </c>
      <c r="AE2" s="2" t="s">
        <v>29</v>
      </c>
      <c r="AF2" s="2" t="s">
        <v>30</v>
      </c>
      <c r="AG2" s="2" t="s">
        <v>31</v>
      </c>
      <c r="AH2" s="2" t="s">
        <v>32</v>
      </c>
      <c r="AI2" s="2" t="s">
        <v>33</v>
      </c>
      <c r="AJ2" s="2" t="s">
        <v>34</v>
      </c>
      <c r="AK2" s="2" t="s">
        <v>35</v>
      </c>
      <c r="AL2" s="2" t="s">
        <v>36</v>
      </c>
      <c r="AM2" s="2" t="s">
        <v>37</v>
      </c>
      <c r="AN2" s="2" t="s">
        <v>38</v>
      </c>
      <c r="AO2" s="2" t="s">
        <v>39</v>
      </c>
      <c r="AP2" s="2" t="s">
        <v>40</v>
      </c>
      <c r="AQ2" s="2" t="s">
        <v>41</v>
      </c>
      <c r="AR2" s="2" t="s">
        <v>42</v>
      </c>
      <c r="AS2" s="2" t="s">
        <v>43</v>
      </c>
      <c r="AT2" s="2" t="s">
        <v>44</v>
      </c>
      <c r="AU2" s="2" t="s">
        <v>45</v>
      </c>
      <c r="AV2" s="2" t="s">
        <v>46</v>
      </c>
      <c r="AW2" s="2" t="s">
        <v>47</v>
      </c>
      <c r="AX2" s="2" t="s">
        <v>48</v>
      </c>
      <c r="AY2" s="2" t="s">
        <v>49</v>
      </c>
      <c r="AZ2" s="2" t="s">
        <v>50</v>
      </c>
      <c r="BA2" s="2" t="s">
        <v>51</v>
      </c>
      <c r="BB2" s="2" t="s">
        <v>52</v>
      </c>
      <c r="BC2" s="2" t="s">
        <v>53</v>
      </c>
      <c r="BD2" s="2" t="s">
        <v>54</v>
      </c>
    </row>
    <row r="3" spans="1:57" s="4" customFormat="1">
      <c r="C3" s="5" t="s">
        <v>55</v>
      </c>
      <c r="D3" s="5" t="s">
        <v>56</v>
      </c>
      <c r="E3" s="5" t="s">
        <v>57</v>
      </c>
      <c r="F3" s="5" t="s">
        <v>58</v>
      </c>
      <c r="G3" s="5"/>
      <c r="H3" s="5" t="s">
        <v>59</v>
      </c>
      <c r="I3" s="5" t="s">
        <v>59</v>
      </c>
      <c r="J3" s="5" t="s">
        <v>60</v>
      </c>
      <c r="K3" s="5" t="s">
        <v>59</v>
      </c>
      <c r="L3" s="5" t="s">
        <v>61</v>
      </c>
      <c r="M3" s="5" t="s">
        <v>61</v>
      </c>
      <c r="N3" s="5" t="s">
        <v>61</v>
      </c>
      <c r="O3" s="5"/>
      <c r="P3" s="5" t="s">
        <v>62</v>
      </c>
      <c r="Q3" s="11">
        <f>S3*1000</f>
        <v>2000</v>
      </c>
      <c r="R3" s="11">
        <f>S3*1000</f>
        <v>2000</v>
      </c>
      <c r="S3" s="5">
        <v>2</v>
      </c>
      <c r="T3" s="11">
        <f>V3*1000</f>
        <v>2000</v>
      </c>
      <c r="U3" s="11">
        <f>V3*1000</f>
        <v>2000</v>
      </c>
      <c r="V3" s="5">
        <v>2</v>
      </c>
      <c r="W3" s="11">
        <f>Y3*1000</f>
        <v>2000</v>
      </c>
      <c r="X3" s="11">
        <f>Y3*1000</f>
        <v>2000</v>
      </c>
      <c r="Y3" s="5">
        <v>2</v>
      </c>
      <c r="Z3" s="11">
        <f>AB3*1000</f>
        <v>2000</v>
      </c>
      <c r="AA3" s="11">
        <f>AB3*1000</f>
        <v>2000</v>
      </c>
      <c r="AB3" s="5">
        <v>2</v>
      </c>
      <c r="AC3" s="11">
        <f>AE3*1000</f>
        <v>2000</v>
      </c>
      <c r="AD3" s="11">
        <f>AE3*1000</f>
        <v>2000</v>
      </c>
      <c r="AE3" s="5">
        <v>2</v>
      </c>
      <c r="AF3" s="11">
        <f>AH3*1000</f>
        <v>2000</v>
      </c>
      <c r="AG3" s="11">
        <f>AH3*1000</f>
        <v>2000</v>
      </c>
      <c r="AH3" s="5">
        <v>2</v>
      </c>
      <c r="AI3" s="11">
        <f>AK3*1000</f>
        <v>2000</v>
      </c>
      <c r="AJ3" s="11">
        <f>AK3*1000</f>
        <v>2000</v>
      </c>
      <c r="AK3" s="5">
        <v>2</v>
      </c>
      <c r="AL3" s="11">
        <f>AN3*1000</f>
        <v>2000</v>
      </c>
      <c r="AM3" s="11">
        <f>AN3*1000</f>
        <v>2000</v>
      </c>
      <c r="AN3" s="5">
        <v>2</v>
      </c>
      <c r="AO3" s="11">
        <f>AQ3*1000</f>
        <v>2000</v>
      </c>
      <c r="AP3" s="11">
        <f>AQ3*1000</f>
        <v>2000</v>
      </c>
      <c r="AQ3" s="5">
        <v>2</v>
      </c>
      <c r="AR3" s="11">
        <f>AT3*1000</f>
        <v>2000</v>
      </c>
      <c r="AS3" s="11">
        <f>AT3*1000</f>
        <v>2000</v>
      </c>
      <c r="AT3" s="5">
        <v>2</v>
      </c>
      <c r="AU3" s="11">
        <f>AW3*1000</f>
        <v>2000</v>
      </c>
      <c r="AV3" s="11">
        <f>AW3*1000</f>
        <v>2000</v>
      </c>
      <c r="AW3" s="5">
        <v>2</v>
      </c>
      <c r="AX3" s="11">
        <f>AZ3*1000</f>
        <v>2000</v>
      </c>
      <c r="AY3" s="11">
        <f>AZ3*1000</f>
        <v>2000</v>
      </c>
      <c r="AZ3" s="5">
        <v>2</v>
      </c>
      <c r="BA3" s="5">
        <v>0</v>
      </c>
      <c r="BB3" s="11">
        <f>SUM(Q3,T3,W3,Z3,AC3,AF3,AI3,AL3,AO3,AR3,AU3,AX3)</f>
        <v>24000</v>
      </c>
      <c r="BC3" s="11">
        <f>SUM(R3,U3,X3,AA3,AD3,AG3,AJ3,AM3,AP3,AS3,AV3,AY3)</f>
        <v>24000</v>
      </c>
      <c r="BD3" s="5">
        <v>2</v>
      </c>
    </row>
    <row r="4" spans="1:57" s="6" customFormat="1">
      <c r="A4" s="6" t="s">
        <v>69</v>
      </c>
      <c r="C4" s="7" t="s">
        <v>55</v>
      </c>
      <c r="D4" s="7" t="s">
        <v>56</v>
      </c>
      <c r="E4" s="7" t="s">
        <v>63</v>
      </c>
      <c r="F4" s="14" t="s">
        <v>64</v>
      </c>
      <c r="G4" s="7"/>
      <c r="H4" s="7" t="s">
        <v>65</v>
      </c>
      <c r="I4" s="7">
        <v>5841813202</v>
      </c>
      <c r="J4" s="7" t="s">
        <v>60</v>
      </c>
      <c r="K4" s="7" t="s">
        <v>65</v>
      </c>
      <c r="L4" s="7" t="s">
        <v>66</v>
      </c>
      <c r="M4" s="7" t="s">
        <v>67</v>
      </c>
      <c r="N4" s="7" t="s">
        <v>68</v>
      </c>
      <c r="O4" s="7"/>
      <c r="P4" s="7" t="s">
        <v>69</v>
      </c>
      <c r="Q4" s="12">
        <f t="shared" ref="Q4:Q24" si="0">S4*1000</f>
        <v>3000</v>
      </c>
      <c r="R4" s="12">
        <f t="shared" ref="R4:R24" si="1">S4*1000</f>
        <v>3000</v>
      </c>
      <c r="S4" s="7">
        <v>3</v>
      </c>
      <c r="T4" s="12">
        <f t="shared" ref="T4:T24" si="2">V4*1000</f>
        <v>3000</v>
      </c>
      <c r="U4" s="12">
        <f t="shared" ref="U4:U24" si="3">V4*1000</f>
        <v>3000</v>
      </c>
      <c r="V4" s="7">
        <v>3</v>
      </c>
      <c r="W4" s="12">
        <f t="shared" ref="W4:W24" si="4">Y4*1000</f>
        <v>3000</v>
      </c>
      <c r="X4" s="12">
        <f t="shared" ref="X4:X24" si="5">Y4*1000</f>
        <v>3000</v>
      </c>
      <c r="Y4" s="7">
        <v>3</v>
      </c>
      <c r="Z4" s="12">
        <f t="shared" ref="Z4:Z24" si="6">AB4*1000</f>
        <v>3000</v>
      </c>
      <c r="AA4" s="12">
        <f t="shared" ref="AA4:AA24" si="7">AB4*1000</f>
        <v>3000</v>
      </c>
      <c r="AB4" s="7">
        <v>3</v>
      </c>
      <c r="AC4" s="12">
        <f t="shared" ref="AC4:AC24" si="8">AE4*1000</f>
        <v>3000</v>
      </c>
      <c r="AD4" s="12">
        <f t="shared" ref="AD4:AD24" si="9">AE4*1000</f>
        <v>3000</v>
      </c>
      <c r="AE4" s="7">
        <v>3</v>
      </c>
      <c r="AF4" s="12">
        <f t="shared" ref="AF4:AF24" si="10">AH4*1000</f>
        <v>3000</v>
      </c>
      <c r="AG4" s="12">
        <f t="shared" ref="AG4:AG24" si="11">AH4*1000</f>
        <v>3000</v>
      </c>
      <c r="AH4" s="7">
        <v>3</v>
      </c>
      <c r="AI4" s="12">
        <f t="shared" ref="AI4:AI24" si="12">AK4*1000</f>
        <v>3000</v>
      </c>
      <c r="AJ4" s="12">
        <f t="shared" ref="AJ4:AJ24" si="13">AK4*1000</f>
        <v>3000</v>
      </c>
      <c r="AK4" s="7">
        <v>3</v>
      </c>
      <c r="AL4" s="12">
        <f t="shared" ref="AL4:AL24" si="14">AN4*1000</f>
        <v>3000</v>
      </c>
      <c r="AM4" s="12">
        <f t="shared" ref="AM4:AM24" si="15">AN4*1000</f>
        <v>3000</v>
      </c>
      <c r="AN4" s="7">
        <v>3</v>
      </c>
      <c r="AO4" s="12">
        <f t="shared" ref="AO4:AO24" si="16">AQ4*1000</f>
        <v>3000</v>
      </c>
      <c r="AP4" s="12">
        <f t="shared" ref="AP4:AP24" si="17">AQ4*1000</f>
        <v>3000</v>
      </c>
      <c r="AQ4" s="7">
        <v>3</v>
      </c>
      <c r="AR4" s="12">
        <f t="shared" ref="AR4:AR24" si="18">AT4*1000</f>
        <v>3000</v>
      </c>
      <c r="AS4" s="12">
        <f t="shared" ref="AS4:AS24" si="19">AT4*1000</f>
        <v>3000</v>
      </c>
      <c r="AT4" s="7">
        <v>3</v>
      </c>
      <c r="AU4" s="12">
        <f t="shared" ref="AU4:AU24" si="20">AW4*1000</f>
        <v>3000</v>
      </c>
      <c r="AV4" s="12">
        <f t="shared" ref="AV4:AV24" si="21">AW4*1000</f>
        <v>3000</v>
      </c>
      <c r="AW4" s="7">
        <v>3</v>
      </c>
      <c r="AX4" s="12">
        <f t="shared" ref="AX4:AX24" si="22">AZ4*1000</f>
        <v>3000</v>
      </c>
      <c r="AY4" s="12">
        <f t="shared" ref="AY4:AY24" si="23">AZ4*1000</f>
        <v>3000</v>
      </c>
      <c r="AZ4" s="7">
        <v>3</v>
      </c>
      <c r="BA4" s="7">
        <v>0</v>
      </c>
      <c r="BB4" s="12">
        <f t="shared" ref="BB4:BC24" si="24">SUM(Q4,T4,W4,Z4,AC4,AF4,AI4,AL4,AO4,AR4,AU4,AX4)</f>
        <v>36000</v>
      </c>
      <c r="BC4" s="12">
        <f t="shared" si="24"/>
        <v>36000</v>
      </c>
      <c r="BD4" s="7">
        <v>3</v>
      </c>
    </row>
    <row r="5" spans="1:57" s="4" customFormat="1">
      <c r="C5" s="5" t="s">
        <v>55</v>
      </c>
      <c r="D5" s="5" t="s">
        <v>56</v>
      </c>
      <c r="E5" s="5" t="s">
        <v>70</v>
      </c>
      <c r="F5" s="5" t="s">
        <v>71</v>
      </c>
      <c r="G5" s="5"/>
      <c r="H5" s="5">
        <v>375953</v>
      </c>
      <c r="I5" s="5">
        <v>5841813202</v>
      </c>
      <c r="J5" s="5" t="s">
        <v>60</v>
      </c>
      <c r="K5" s="5" t="s">
        <v>72</v>
      </c>
      <c r="L5" s="5" t="s">
        <v>73</v>
      </c>
      <c r="M5" s="5" t="s">
        <v>67</v>
      </c>
      <c r="N5" s="5" t="s">
        <v>74</v>
      </c>
      <c r="O5" s="5"/>
      <c r="P5" s="5" t="s">
        <v>69</v>
      </c>
      <c r="Q5" s="11">
        <f t="shared" si="0"/>
        <v>4000</v>
      </c>
      <c r="R5" s="11">
        <f t="shared" si="1"/>
        <v>4000</v>
      </c>
      <c r="S5" s="5">
        <v>4</v>
      </c>
      <c r="T5" s="11">
        <f t="shared" si="2"/>
        <v>4000</v>
      </c>
      <c r="U5" s="11">
        <f t="shared" si="3"/>
        <v>4000</v>
      </c>
      <c r="V5" s="5">
        <v>4</v>
      </c>
      <c r="W5" s="11">
        <f t="shared" si="4"/>
        <v>4000</v>
      </c>
      <c r="X5" s="11">
        <f t="shared" si="5"/>
        <v>4000</v>
      </c>
      <c r="Y5" s="5">
        <v>4</v>
      </c>
      <c r="Z5" s="11">
        <f t="shared" si="6"/>
        <v>4000</v>
      </c>
      <c r="AA5" s="11">
        <f t="shared" si="7"/>
        <v>4000</v>
      </c>
      <c r="AB5" s="5">
        <v>4</v>
      </c>
      <c r="AC5" s="11">
        <f t="shared" si="8"/>
        <v>4000</v>
      </c>
      <c r="AD5" s="11">
        <f t="shared" si="9"/>
        <v>4000</v>
      </c>
      <c r="AE5" s="5">
        <v>4</v>
      </c>
      <c r="AF5" s="11">
        <f t="shared" si="10"/>
        <v>4000</v>
      </c>
      <c r="AG5" s="11">
        <f t="shared" si="11"/>
        <v>4000</v>
      </c>
      <c r="AH5" s="5">
        <v>4</v>
      </c>
      <c r="AI5" s="11">
        <f t="shared" si="12"/>
        <v>4000</v>
      </c>
      <c r="AJ5" s="11">
        <f t="shared" si="13"/>
        <v>4000</v>
      </c>
      <c r="AK5" s="5">
        <v>4</v>
      </c>
      <c r="AL5" s="11">
        <f t="shared" si="14"/>
        <v>4000</v>
      </c>
      <c r="AM5" s="11">
        <f t="shared" si="15"/>
        <v>4000</v>
      </c>
      <c r="AN5" s="5">
        <v>4</v>
      </c>
      <c r="AO5" s="11">
        <f t="shared" si="16"/>
        <v>4000</v>
      </c>
      <c r="AP5" s="11">
        <f t="shared" si="17"/>
        <v>4000</v>
      </c>
      <c r="AQ5" s="5">
        <v>4</v>
      </c>
      <c r="AR5" s="11">
        <f t="shared" si="18"/>
        <v>4000</v>
      </c>
      <c r="AS5" s="11">
        <f t="shared" si="19"/>
        <v>4000</v>
      </c>
      <c r="AT5" s="5">
        <v>4</v>
      </c>
      <c r="AU5" s="11">
        <f t="shared" si="20"/>
        <v>4000</v>
      </c>
      <c r="AV5" s="11">
        <f t="shared" si="21"/>
        <v>4000</v>
      </c>
      <c r="AW5" s="5">
        <v>4</v>
      </c>
      <c r="AX5" s="11">
        <f t="shared" si="22"/>
        <v>4000</v>
      </c>
      <c r="AY5" s="11">
        <f t="shared" si="23"/>
        <v>4000</v>
      </c>
      <c r="AZ5" s="5">
        <v>4</v>
      </c>
      <c r="BA5" s="5">
        <v>0</v>
      </c>
      <c r="BB5" s="11">
        <f t="shared" si="24"/>
        <v>48000</v>
      </c>
      <c r="BC5" s="11">
        <f t="shared" si="24"/>
        <v>48000</v>
      </c>
      <c r="BD5" s="5">
        <v>4</v>
      </c>
    </row>
    <row r="6" spans="1:57" s="6" customFormat="1">
      <c r="C6" s="7" t="s">
        <v>55</v>
      </c>
      <c r="D6" s="7" t="s">
        <v>56</v>
      </c>
      <c r="E6" s="7" t="s">
        <v>75</v>
      </c>
      <c r="F6" s="7" t="s">
        <v>76</v>
      </c>
      <c r="G6" s="7"/>
      <c r="H6" s="7" t="s">
        <v>77</v>
      </c>
      <c r="I6" s="7" t="s">
        <v>77</v>
      </c>
      <c r="J6" s="7" t="s">
        <v>60</v>
      </c>
      <c r="K6" s="7" t="s">
        <v>77</v>
      </c>
      <c r="L6" s="7" t="s">
        <v>78</v>
      </c>
      <c r="M6" s="7" t="s">
        <v>79</v>
      </c>
      <c r="N6" s="7" t="s">
        <v>79</v>
      </c>
      <c r="O6" s="7"/>
      <c r="P6" s="7" t="s">
        <v>69</v>
      </c>
      <c r="Q6" s="12">
        <f t="shared" si="0"/>
        <v>3000</v>
      </c>
      <c r="R6" s="12">
        <f t="shared" si="1"/>
        <v>3000</v>
      </c>
      <c r="S6" s="7">
        <v>3</v>
      </c>
      <c r="T6" s="12">
        <f t="shared" si="2"/>
        <v>3000</v>
      </c>
      <c r="U6" s="12">
        <f t="shared" si="3"/>
        <v>3000</v>
      </c>
      <c r="V6" s="7">
        <v>3</v>
      </c>
      <c r="W6" s="12">
        <f t="shared" si="4"/>
        <v>3000</v>
      </c>
      <c r="X6" s="12">
        <f t="shared" si="5"/>
        <v>3000</v>
      </c>
      <c r="Y6" s="7">
        <v>3</v>
      </c>
      <c r="Z6" s="12">
        <f t="shared" si="6"/>
        <v>3000</v>
      </c>
      <c r="AA6" s="12">
        <f t="shared" si="7"/>
        <v>3000</v>
      </c>
      <c r="AB6" s="7">
        <v>3</v>
      </c>
      <c r="AC6" s="12">
        <f t="shared" si="8"/>
        <v>3000</v>
      </c>
      <c r="AD6" s="12">
        <f t="shared" si="9"/>
        <v>3000</v>
      </c>
      <c r="AE6" s="7">
        <v>3</v>
      </c>
      <c r="AF6" s="12">
        <f t="shared" si="10"/>
        <v>3000</v>
      </c>
      <c r="AG6" s="12">
        <f t="shared" si="11"/>
        <v>3000</v>
      </c>
      <c r="AH6" s="7">
        <v>3</v>
      </c>
      <c r="AI6" s="12">
        <f t="shared" si="12"/>
        <v>3000</v>
      </c>
      <c r="AJ6" s="12">
        <f t="shared" si="13"/>
        <v>3000</v>
      </c>
      <c r="AK6" s="7">
        <v>3</v>
      </c>
      <c r="AL6" s="12">
        <f t="shared" si="14"/>
        <v>3000</v>
      </c>
      <c r="AM6" s="12">
        <f t="shared" si="15"/>
        <v>3000</v>
      </c>
      <c r="AN6" s="7">
        <v>3</v>
      </c>
      <c r="AO6" s="12">
        <f t="shared" si="16"/>
        <v>3000</v>
      </c>
      <c r="AP6" s="12">
        <f t="shared" si="17"/>
        <v>3000</v>
      </c>
      <c r="AQ6" s="7">
        <v>3</v>
      </c>
      <c r="AR6" s="12">
        <f t="shared" si="18"/>
        <v>3000</v>
      </c>
      <c r="AS6" s="12">
        <f t="shared" si="19"/>
        <v>3000</v>
      </c>
      <c r="AT6" s="7">
        <v>3</v>
      </c>
      <c r="AU6" s="12">
        <f t="shared" si="20"/>
        <v>3000</v>
      </c>
      <c r="AV6" s="12">
        <f t="shared" si="21"/>
        <v>3000</v>
      </c>
      <c r="AW6" s="7">
        <v>3</v>
      </c>
      <c r="AX6" s="12">
        <f t="shared" si="22"/>
        <v>3000</v>
      </c>
      <c r="AY6" s="12">
        <f t="shared" si="23"/>
        <v>3000</v>
      </c>
      <c r="AZ6" s="7">
        <v>3</v>
      </c>
      <c r="BA6" s="7">
        <v>0</v>
      </c>
      <c r="BB6" s="12">
        <f t="shared" si="24"/>
        <v>36000</v>
      </c>
      <c r="BC6" s="12">
        <f t="shared" si="24"/>
        <v>36000</v>
      </c>
      <c r="BD6" s="7">
        <v>3</v>
      </c>
    </row>
    <row r="7" spans="1:57" s="4" customFormat="1">
      <c r="C7" s="5" t="s">
        <v>55</v>
      </c>
      <c r="D7" s="5" t="s">
        <v>56</v>
      </c>
      <c r="E7" s="5" t="s">
        <v>80</v>
      </c>
      <c r="F7" s="5" t="s">
        <v>81</v>
      </c>
      <c r="G7" s="5"/>
      <c r="H7" s="5">
        <v>370316</v>
      </c>
      <c r="I7" s="5">
        <v>5841813202</v>
      </c>
      <c r="J7" s="5" t="s">
        <v>60</v>
      </c>
      <c r="K7" s="5" t="s">
        <v>82</v>
      </c>
      <c r="L7" s="5" t="s">
        <v>73</v>
      </c>
      <c r="M7" s="5" t="s">
        <v>67</v>
      </c>
      <c r="N7" s="5" t="s">
        <v>74</v>
      </c>
      <c r="O7" s="5"/>
      <c r="P7" s="5" t="s">
        <v>69</v>
      </c>
      <c r="Q7" s="11">
        <f t="shared" si="0"/>
        <v>4000</v>
      </c>
      <c r="R7" s="11">
        <f t="shared" si="1"/>
        <v>4000</v>
      </c>
      <c r="S7" s="5">
        <v>4</v>
      </c>
      <c r="T7" s="11">
        <f t="shared" si="2"/>
        <v>4000</v>
      </c>
      <c r="U7" s="11">
        <f t="shared" si="3"/>
        <v>4000</v>
      </c>
      <c r="V7" s="5">
        <v>4</v>
      </c>
      <c r="W7" s="11">
        <f t="shared" si="4"/>
        <v>4000</v>
      </c>
      <c r="X7" s="11">
        <f t="shared" si="5"/>
        <v>4000</v>
      </c>
      <c r="Y7" s="5">
        <v>4</v>
      </c>
      <c r="Z7" s="11">
        <f t="shared" si="6"/>
        <v>4000</v>
      </c>
      <c r="AA7" s="11">
        <f t="shared" si="7"/>
        <v>4000</v>
      </c>
      <c r="AB7" s="5">
        <v>4</v>
      </c>
      <c r="AC7" s="11">
        <f t="shared" si="8"/>
        <v>4000</v>
      </c>
      <c r="AD7" s="11">
        <f t="shared" si="9"/>
        <v>4000</v>
      </c>
      <c r="AE7" s="5">
        <v>4</v>
      </c>
      <c r="AF7" s="11">
        <f t="shared" si="10"/>
        <v>4000</v>
      </c>
      <c r="AG7" s="11">
        <f t="shared" si="11"/>
        <v>4000</v>
      </c>
      <c r="AH7" s="5">
        <v>4</v>
      </c>
      <c r="AI7" s="11">
        <f t="shared" si="12"/>
        <v>4000</v>
      </c>
      <c r="AJ7" s="11">
        <f t="shared" si="13"/>
        <v>4000</v>
      </c>
      <c r="AK7" s="5">
        <v>4</v>
      </c>
      <c r="AL7" s="11">
        <f t="shared" si="14"/>
        <v>4000</v>
      </c>
      <c r="AM7" s="11">
        <f t="shared" si="15"/>
        <v>4000</v>
      </c>
      <c r="AN7" s="5">
        <v>4</v>
      </c>
      <c r="AO7" s="11">
        <f t="shared" si="16"/>
        <v>4000</v>
      </c>
      <c r="AP7" s="11">
        <f t="shared" si="17"/>
        <v>4000</v>
      </c>
      <c r="AQ7" s="5">
        <v>4</v>
      </c>
      <c r="AR7" s="11">
        <f t="shared" si="18"/>
        <v>4000</v>
      </c>
      <c r="AS7" s="11">
        <f t="shared" si="19"/>
        <v>4000</v>
      </c>
      <c r="AT7" s="5">
        <v>4</v>
      </c>
      <c r="AU7" s="11">
        <f t="shared" si="20"/>
        <v>4000</v>
      </c>
      <c r="AV7" s="11">
        <f t="shared" si="21"/>
        <v>4000</v>
      </c>
      <c r="AW7" s="5">
        <v>4</v>
      </c>
      <c r="AX7" s="11">
        <f t="shared" si="22"/>
        <v>4000</v>
      </c>
      <c r="AY7" s="11">
        <f t="shared" si="23"/>
        <v>4000</v>
      </c>
      <c r="AZ7" s="5">
        <v>4</v>
      </c>
      <c r="BA7" s="5">
        <v>0</v>
      </c>
      <c r="BB7" s="11">
        <f t="shared" si="24"/>
        <v>48000</v>
      </c>
      <c r="BC7" s="11">
        <f t="shared" si="24"/>
        <v>48000</v>
      </c>
      <c r="BD7" s="5">
        <v>4</v>
      </c>
    </row>
    <row r="8" spans="1:57" s="6" customFormat="1">
      <c r="C8" s="7" t="s">
        <v>55</v>
      </c>
      <c r="D8" s="7" t="s">
        <v>56</v>
      </c>
      <c r="E8" s="7" t="s">
        <v>83</v>
      </c>
      <c r="F8" s="7" t="s">
        <v>84</v>
      </c>
      <c r="G8" s="7"/>
      <c r="H8" s="7">
        <v>375725</v>
      </c>
      <c r="I8" s="7">
        <v>5841813202</v>
      </c>
      <c r="J8" s="7" t="s">
        <v>60</v>
      </c>
      <c r="K8" s="7" t="s">
        <v>85</v>
      </c>
      <c r="L8" s="7" t="s">
        <v>73</v>
      </c>
      <c r="M8" s="7" t="s">
        <v>67</v>
      </c>
      <c r="N8" s="7" t="s">
        <v>74</v>
      </c>
      <c r="O8" s="7"/>
      <c r="P8" s="7" t="s">
        <v>69</v>
      </c>
      <c r="Q8" s="12">
        <f t="shared" si="0"/>
        <v>5000</v>
      </c>
      <c r="R8" s="12">
        <f t="shared" si="1"/>
        <v>5000</v>
      </c>
      <c r="S8" s="7">
        <v>5</v>
      </c>
      <c r="T8" s="12">
        <f t="shared" si="2"/>
        <v>5000</v>
      </c>
      <c r="U8" s="12">
        <f t="shared" si="3"/>
        <v>5000</v>
      </c>
      <c r="V8" s="7">
        <v>5</v>
      </c>
      <c r="W8" s="12">
        <f t="shared" si="4"/>
        <v>5000</v>
      </c>
      <c r="X8" s="12">
        <f t="shared" si="5"/>
        <v>5000</v>
      </c>
      <c r="Y8" s="7">
        <v>5</v>
      </c>
      <c r="Z8" s="12">
        <f t="shared" si="6"/>
        <v>5000</v>
      </c>
      <c r="AA8" s="12">
        <f t="shared" si="7"/>
        <v>5000</v>
      </c>
      <c r="AB8" s="7">
        <v>5</v>
      </c>
      <c r="AC8" s="12">
        <f t="shared" si="8"/>
        <v>5000</v>
      </c>
      <c r="AD8" s="12">
        <f t="shared" si="9"/>
        <v>5000</v>
      </c>
      <c r="AE8" s="7">
        <v>5</v>
      </c>
      <c r="AF8" s="12">
        <f t="shared" si="10"/>
        <v>5000</v>
      </c>
      <c r="AG8" s="12">
        <f t="shared" si="11"/>
        <v>5000</v>
      </c>
      <c r="AH8" s="7">
        <v>5</v>
      </c>
      <c r="AI8" s="12">
        <f t="shared" si="12"/>
        <v>5000</v>
      </c>
      <c r="AJ8" s="12">
        <f t="shared" si="13"/>
        <v>5000</v>
      </c>
      <c r="AK8" s="7">
        <v>5</v>
      </c>
      <c r="AL8" s="12">
        <f t="shared" si="14"/>
        <v>5000</v>
      </c>
      <c r="AM8" s="12">
        <f t="shared" si="15"/>
        <v>5000</v>
      </c>
      <c r="AN8" s="7">
        <v>5</v>
      </c>
      <c r="AO8" s="12">
        <f t="shared" si="16"/>
        <v>5000</v>
      </c>
      <c r="AP8" s="12">
        <f t="shared" si="17"/>
        <v>5000</v>
      </c>
      <c r="AQ8" s="7">
        <v>5</v>
      </c>
      <c r="AR8" s="12">
        <f t="shared" si="18"/>
        <v>5000</v>
      </c>
      <c r="AS8" s="12">
        <f t="shared" si="19"/>
        <v>5000</v>
      </c>
      <c r="AT8" s="7">
        <v>5</v>
      </c>
      <c r="AU8" s="12">
        <f t="shared" si="20"/>
        <v>5000</v>
      </c>
      <c r="AV8" s="12">
        <f t="shared" si="21"/>
        <v>5000</v>
      </c>
      <c r="AW8" s="7">
        <v>5</v>
      </c>
      <c r="AX8" s="12">
        <f t="shared" si="22"/>
        <v>5000</v>
      </c>
      <c r="AY8" s="12">
        <f t="shared" si="23"/>
        <v>5000</v>
      </c>
      <c r="AZ8" s="7">
        <v>5</v>
      </c>
      <c r="BA8" s="7">
        <v>0</v>
      </c>
      <c r="BB8" s="12">
        <f t="shared" si="24"/>
        <v>60000</v>
      </c>
      <c r="BC8" s="12">
        <f t="shared" si="24"/>
        <v>60000</v>
      </c>
      <c r="BD8" s="7">
        <v>5</v>
      </c>
    </row>
    <row r="9" spans="1:57" s="4" customFormat="1">
      <c r="C9" s="5" t="s">
        <v>55</v>
      </c>
      <c r="D9" s="5" t="s">
        <v>56</v>
      </c>
      <c r="E9" s="5" t="s">
        <v>86</v>
      </c>
      <c r="F9" s="5" t="s">
        <v>87</v>
      </c>
      <c r="G9" s="5"/>
      <c r="H9" s="5">
        <v>129915</v>
      </c>
      <c r="I9" s="5">
        <v>5841813202</v>
      </c>
      <c r="J9" s="5" t="s">
        <v>60</v>
      </c>
      <c r="K9" s="5" t="s">
        <v>88</v>
      </c>
      <c r="L9" s="5" t="s">
        <v>73</v>
      </c>
      <c r="M9" s="5" t="s">
        <v>67</v>
      </c>
      <c r="N9" s="5" t="s">
        <v>74</v>
      </c>
      <c r="O9" s="5"/>
      <c r="P9" s="5" t="s">
        <v>69</v>
      </c>
      <c r="Q9" s="11">
        <f t="shared" si="0"/>
        <v>5000</v>
      </c>
      <c r="R9" s="11">
        <f t="shared" si="1"/>
        <v>5000</v>
      </c>
      <c r="S9" s="5">
        <v>5</v>
      </c>
      <c r="T9" s="11">
        <f t="shared" si="2"/>
        <v>5000</v>
      </c>
      <c r="U9" s="11">
        <f t="shared" si="3"/>
        <v>5000</v>
      </c>
      <c r="V9" s="5">
        <v>5</v>
      </c>
      <c r="W9" s="11">
        <f t="shared" si="4"/>
        <v>5000</v>
      </c>
      <c r="X9" s="11">
        <f t="shared" si="5"/>
        <v>5000</v>
      </c>
      <c r="Y9" s="5">
        <v>5</v>
      </c>
      <c r="Z9" s="11">
        <f t="shared" si="6"/>
        <v>5000</v>
      </c>
      <c r="AA9" s="11">
        <f t="shared" si="7"/>
        <v>5000</v>
      </c>
      <c r="AB9" s="5">
        <v>5</v>
      </c>
      <c r="AC9" s="11">
        <f t="shared" si="8"/>
        <v>5000</v>
      </c>
      <c r="AD9" s="11">
        <f t="shared" si="9"/>
        <v>5000</v>
      </c>
      <c r="AE9" s="5">
        <v>5</v>
      </c>
      <c r="AF9" s="11">
        <f t="shared" si="10"/>
        <v>5000</v>
      </c>
      <c r="AG9" s="11">
        <f t="shared" si="11"/>
        <v>5000</v>
      </c>
      <c r="AH9" s="5">
        <v>5</v>
      </c>
      <c r="AI9" s="11">
        <f t="shared" si="12"/>
        <v>5000</v>
      </c>
      <c r="AJ9" s="11">
        <f t="shared" si="13"/>
        <v>5000</v>
      </c>
      <c r="AK9" s="5">
        <v>5</v>
      </c>
      <c r="AL9" s="11">
        <f t="shared" si="14"/>
        <v>5000</v>
      </c>
      <c r="AM9" s="11">
        <f t="shared" si="15"/>
        <v>5000</v>
      </c>
      <c r="AN9" s="5">
        <v>5</v>
      </c>
      <c r="AO9" s="11">
        <f t="shared" si="16"/>
        <v>5000</v>
      </c>
      <c r="AP9" s="11">
        <f t="shared" si="17"/>
        <v>5000</v>
      </c>
      <c r="AQ9" s="5">
        <v>5</v>
      </c>
      <c r="AR9" s="11">
        <f t="shared" si="18"/>
        <v>5000</v>
      </c>
      <c r="AS9" s="11">
        <f t="shared" si="19"/>
        <v>5000</v>
      </c>
      <c r="AT9" s="5">
        <v>5</v>
      </c>
      <c r="AU9" s="11">
        <f t="shared" si="20"/>
        <v>5000</v>
      </c>
      <c r="AV9" s="11">
        <f t="shared" si="21"/>
        <v>5000</v>
      </c>
      <c r="AW9" s="5">
        <v>5</v>
      </c>
      <c r="AX9" s="11">
        <f t="shared" si="22"/>
        <v>5000</v>
      </c>
      <c r="AY9" s="11">
        <f t="shared" si="23"/>
        <v>5000</v>
      </c>
      <c r="AZ9" s="5">
        <v>5</v>
      </c>
      <c r="BA9" s="5">
        <v>0</v>
      </c>
      <c r="BB9" s="11">
        <f t="shared" si="24"/>
        <v>60000</v>
      </c>
      <c r="BC9" s="11">
        <f t="shared" si="24"/>
        <v>60000</v>
      </c>
      <c r="BD9" s="5">
        <v>5</v>
      </c>
    </row>
    <row r="10" spans="1:57" s="6" customFormat="1">
      <c r="C10" s="7" t="s">
        <v>55</v>
      </c>
      <c r="D10" s="7" t="s">
        <v>56</v>
      </c>
      <c r="E10" s="7" t="s">
        <v>89</v>
      </c>
      <c r="F10" s="7" t="s">
        <v>90</v>
      </c>
      <c r="G10" s="7"/>
      <c r="H10" s="7">
        <v>38617004</v>
      </c>
      <c r="I10" s="7">
        <v>5841813202</v>
      </c>
      <c r="J10" s="7" t="s">
        <v>60</v>
      </c>
      <c r="K10" s="7" t="s">
        <v>91</v>
      </c>
      <c r="L10" s="7" t="s">
        <v>73</v>
      </c>
      <c r="M10" s="7" t="s">
        <v>79</v>
      </c>
      <c r="N10" s="7" t="s">
        <v>74</v>
      </c>
      <c r="O10" s="7"/>
      <c r="P10" s="7" t="s">
        <v>69</v>
      </c>
      <c r="Q10" s="12">
        <f t="shared" si="0"/>
        <v>7000</v>
      </c>
      <c r="R10" s="12">
        <f t="shared" si="1"/>
        <v>7000</v>
      </c>
      <c r="S10" s="7">
        <v>7</v>
      </c>
      <c r="T10" s="12">
        <f t="shared" si="2"/>
        <v>7000</v>
      </c>
      <c r="U10" s="12">
        <f t="shared" si="3"/>
        <v>7000</v>
      </c>
      <c r="V10" s="7">
        <v>7</v>
      </c>
      <c r="W10" s="12">
        <f t="shared" si="4"/>
        <v>7000</v>
      </c>
      <c r="X10" s="12">
        <f t="shared" si="5"/>
        <v>7000</v>
      </c>
      <c r="Y10" s="7">
        <v>7</v>
      </c>
      <c r="Z10" s="12">
        <f t="shared" si="6"/>
        <v>7000</v>
      </c>
      <c r="AA10" s="12">
        <f t="shared" si="7"/>
        <v>7000</v>
      </c>
      <c r="AB10" s="7">
        <v>7</v>
      </c>
      <c r="AC10" s="12">
        <f t="shared" si="8"/>
        <v>7000</v>
      </c>
      <c r="AD10" s="12">
        <f t="shared" si="9"/>
        <v>7000</v>
      </c>
      <c r="AE10" s="7">
        <v>7</v>
      </c>
      <c r="AF10" s="12">
        <f t="shared" si="10"/>
        <v>7000</v>
      </c>
      <c r="AG10" s="12">
        <f t="shared" si="11"/>
        <v>7000</v>
      </c>
      <c r="AH10" s="7">
        <v>7</v>
      </c>
      <c r="AI10" s="12">
        <f t="shared" si="12"/>
        <v>7000</v>
      </c>
      <c r="AJ10" s="12">
        <f t="shared" si="13"/>
        <v>7000</v>
      </c>
      <c r="AK10" s="7">
        <v>7</v>
      </c>
      <c r="AL10" s="12">
        <f t="shared" si="14"/>
        <v>7000</v>
      </c>
      <c r="AM10" s="12">
        <f t="shared" si="15"/>
        <v>7000</v>
      </c>
      <c r="AN10" s="7">
        <v>7</v>
      </c>
      <c r="AO10" s="12">
        <f t="shared" si="16"/>
        <v>7000</v>
      </c>
      <c r="AP10" s="12">
        <f t="shared" si="17"/>
        <v>7000</v>
      </c>
      <c r="AQ10" s="7">
        <v>7</v>
      </c>
      <c r="AR10" s="12">
        <f t="shared" si="18"/>
        <v>7000</v>
      </c>
      <c r="AS10" s="12">
        <f t="shared" si="19"/>
        <v>7000</v>
      </c>
      <c r="AT10" s="7">
        <v>7</v>
      </c>
      <c r="AU10" s="12">
        <f t="shared" si="20"/>
        <v>7000</v>
      </c>
      <c r="AV10" s="12">
        <f t="shared" si="21"/>
        <v>7000</v>
      </c>
      <c r="AW10" s="7">
        <v>7</v>
      </c>
      <c r="AX10" s="12">
        <f t="shared" si="22"/>
        <v>7000</v>
      </c>
      <c r="AY10" s="12">
        <f t="shared" si="23"/>
        <v>7000</v>
      </c>
      <c r="AZ10" s="7">
        <v>7</v>
      </c>
      <c r="BA10" s="7">
        <v>0</v>
      </c>
      <c r="BB10" s="12">
        <f t="shared" si="24"/>
        <v>84000</v>
      </c>
      <c r="BC10" s="12">
        <f t="shared" si="24"/>
        <v>84000</v>
      </c>
      <c r="BD10" s="7">
        <v>7</v>
      </c>
    </row>
    <row r="11" spans="1:57" s="4" customFormat="1">
      <c r="C11" s="5" t="s">
        <v>55</v>
      </c>
      <c r="D11" s="5" t="s">
        <v>56</v>
      </c>
      <c r="E11" s="5" t="s">
        <v>57</v>
      </c>
      <c r="F11" s="5" t="s">
        <v>92</v>
      </c>
      <c r="G11" s="5"/>
      <c r="H11" s="5">
        <v>38617008</v>
      </c>
      <c r="I11" s="5">
        <v>5841813202</v>
      </c>
      <c r="J11" s="5" t="s">
        <v>60</v>
      </c>
      <c r="K11" s="5" t="s">
        <v>93</v>
      </c>
      <c r="L11" s="5" t="s">
        <v>73</v>
      </c>
      <c r="M11" s="5" t="s">
        <v>79</v>
      </c>
      <c r="N11" s="5" t="s">
        <v>74</v>
      </c>
      <c r="O11" s="5"/>
      <c r="P11" s="5" t="s">
        <v>69</v>
      </c>
      <c r="Q11" s="11">
        <f t="shared" si="0"/>
        <v>4000</v>
      </c>
      <c r="R11" s="11">
        <f t="shared" si="1"/>
        <v>4000</v>
      </c>
      <c r="S11" s="5">
        <v>4</v>
      </c>
      <c r="T11" s="11">
        <f t="shared" si="2"/>
        <v>4000</v>
      </c>
      <c r="U11" s="11">
        <f t="shared" si="3"/>
        <v>4000</v>
      </c>
      <c r="V11" s="5">
        <v>4</v>
      </c>
      <c r="W11" s="11">
        <f t="shared" si="4"/>
        <v>4000</v>
      </c>
      <c r="X11" s="11">
        <f t="shared" si="5"/>
        <v>4000</v>
      </c>
      <c r="Y11" s="5">
        <v>4</v>
      </c>
      <c r="Z11" s="11">
        <f t="shared" si="6"/>
        <v>4000</v>
      </c>
      <c r="AA11" s="11">
        <f t="shared" si="7"/>
        <v>4000</v>
      </c>
      <c r="AB11" s="5">
        <v>4</v>
      </c>
      <c r="AC11" s="11">
        <f t="shared" si="8"/>
        <v>4000</v>
      </c>
      <c r="AD11" s="11">
        <f t="shared" si="9"/>
        <v>4000</v>
      </c>
      <c r="AE11" s="5">
        <v>4</v>
      </c>
      <c r="AF11" s="11">
        <f t="shared" si="10"/>
        <v>4000</v>
      </c>
      <c r="AG11" s="11">
        <f t="shared" si="11"/>
        <v>4000</v>
      </c>
      <c r="AH11" s="5">
        <v>4</v>
      </c>
      <c r="AI11" s="11">
        <f t="shared" si="12"/>
        <v>4000</v>
      </c>
      <c r="AJ11" s="11">
        <f t="shared" si="13"/>
        <v>4000</v>
      </c>
      <c r="AK11" s="5">
        <v>4</v>
      </c>
      <c r="AL11" s="11">
        <f t="shared" si="14"/>
        <v>4000</v>
      </c>
      <c r="AM11" s="11">
        <f t="shared" si="15"/>
        <v>4000</v>
      </c>
      <c r="AN11" s="5">
        <v>4</v>
      </c>
      <c r="AO11" s="11">
        <f t="shared" si="16"/>
        <v>4000</v>
      </c>
      <c r="AP11" s="11">
        <f t="shared" si="17"/>
        <v>4000</v>
      </c>
      <c r="AQ11" s="5">
        <v>4</v>
      </c>
      <c r="AR11" s="11">
        <f t="shared" si="18"/>
        <v>4000</v>
      </c>
      <c r="AS11" s="11">
        <f t="shared" si="19"/>
        <v>4000</v>
      </c>
      <c r="AT11" s="5">
        <v>4</v>
      </c>
      <c r="AU11" s="11">
        <f t="shared" si="20"/>
        <v>4000</v>
      </c>
      <c r="AV11" s="11">
        <f t="shared" si="21"/>
        <v>4000</v>
      </c>
      <c r="AW11" s="5">
        <v>4</v>
      </c>
      <c r="AX11" s="11">
        <f t="shared" si="22"/>
        <v>4000</v>
      </c>
      <c r="AY11" s="11">
        <f t="shared" si="23"/>
        <v>4000</v>
      </c>
      <c r="AZ11" s="5">
        <v>4</v>
      </c>
      <c r="BA11" s="5">
        <v>0</v>
      </c>
      <c r="BB11" s="11">
        <f t="shared" si="24"/>
        <v>48000</v>
      </c>
      <c r="BC11" s="11">
        <f t="shared" si="24"/>
        <v>48000</v>
      </c>
      <c r="BD11" s="5">
        <v>4</v>
      </c>
    </row>
    <row r="12" spans="1:57" s="6" customFormat="1">
      <c r="C12" s="7" t="s">
        <v>55</v>
      </c>
      <c r="D12" s="7" t="s">
        <v>56</v>
      </c>
      <c r="E12" s="7" t="s">
        <v>57</v>
      </c>
      <c r="F12" s="7" t="s">
        <v>94</v>
      </c>
      <c r="G12" s="7" t="s">
        <v>69</v>
      </c>
      <c r="H12" s="7">
        <v>36617001</v>
      </c>
      <c r="I12" s="7">
        <v>5841813202</v>
      </c>
      <c r="J12" s="7" t="s">
        <v>60</v>
      </c>
      <c r="K12" s="7" t="s">
        <v>95</v>
      </c>
      <c r="L12" s="7" t="s">
        <v>73</v>
      </c>
      <c r="M12" s="7" t="s">
        <v>79</v>
      </c>
      <c r="N12" s="7" t="s">
        <v>74</v>
      </c>
      <c r="O12" s="7"/>
      <c r="P12" s="7" t="s">
        <v>69</v>
      </c>
      <c r="Q12" s="12">
        <f t="shared" si="0"/>
        <v>6000</v>
      </c>
      <c r="R12" s="12">
        <f t="shared" si="1"/>
        <v>6000</v>
      </c>
      <c r="S12" s="7">
        <v>6</v>
      </c>
      <c r="T12" s="12">
        <f t="shared" si="2"/>
        <v>6000</v>
      </c>
      <c r="U12" s="12">
        <f t="shared" si="3"/>
        <v>6000</v>
      </c>
      <c r="V12" s="7">
        <v>6</v>
      </c>
      <c r="W12" s="12">
        <f t="shared" si="4"/>
        <v>6000</v>
      </c>
      <c r="X12" s="12">
        <f t="shared" si="5"/>
        <v>6000</v>
      </c>
      <c r="Y12" s="7">
        <v>6</v>
      </c>
      <c r="Z12" s="12">
        <f t="shared" si="6"/>
        <v>6000</v>
      </c>
      <c r="AA12" s="12">
        <f t="shared" si="7"/>
        <v>6000</v>
      </c>
      <c r="AB12" s="7">
        <v>6</v>
      </c>
      <c r="AC12" s="12">
        <f t="shared" si="8"/>
        <v>6000</v>
      </c>
      <c r="AD12" s="12">
        <f t="shared" si="9"/>
        <v>6000</v>
      </c>
      <c r="AE12" s="7">
        <v>6</v>
      </c>
      <c r="AF12" s="12">
        <f t="shared" si="10"/>
        <v>6000</v>
      </c>
      <c r="AG12" s="12">
        <f t="shared" si="11"/>
        <v>6000</v>
      </c>
      <c r="AH12" s="7">
        <v>6</v>
      </c>
      <c r="AI12" s="12">
        <f t="shared" si="12"/>
        <v>6000</v>
      </c>
      <c r="AJ12" s="12">
        <f t="shared" si="13"/>
        <v>6000</v>
      </c>
      <c r="AK12" s="7">
        <v>6</v>
      </c>
      <c r="AL12" s="12">
        <f t="shared" si="14"/>
        <v>6000</v>
      </c>
      <c r="AM12" s="12">
        <f t="shared" si="15"/>
        <v>6000</v>
      </c>
      <c r="AN12" s="7">
        <v>6</v>
      </c>
      <c r="AO12" s="12">
        <f t="shared" si="16"/>
        <v>6000</v>
      </c>
      <c r="AP12" s="12">
        <f t="shared" si="17"/>
        <v>6000</v>
      </c>
      <c r="AQ12" s="7">
        <v>6</v>
      </c>
      <c r="AR12" s="12">
        <f t="shared" si="18"/>
        <v>6000</v>
      </c>
      <c r="AS12" s="12">
        <f t="shared" si="19"/>
        <v>6000</v>
      </c>
      <c r="AT12" s="7">
        <v>6</v>
      </c>
      <c r="AU12" s="12">
        <f t="shared" si="20"/>
        <v>6000</v>
      </c>
      <c r="AV12" s="12">
        <f t="shared" si="21"/>
        <v>6000</v>
      </c>
      <c r="AW12" s="7">
        <v>6</v>
      </c>
      <c r="AX12" s="12">
        <f t="shared" si="22"/>
        <v>6000</v>
      </c>
      <c r="AY12" s="12">
        <f t="shared" si="23"/>
        <v>6000</v>
      </c>
      <c r="AZ12" s="7">
        <v>6</v>
      </c>
      <c r="BA12" s="7">
        <v>0</v>
      </c>
      <c r="BB12" s="12">
        <f t="shared" si="24"/>
        <v>72000</v>
      </c>
      <c r="BC12" s="12">
        <f t="shared" si="24"/>
        <v>72000</v>
      </c>
      <c r="BD12" s="7">
        <v>6</v>
      </c>
    </row>
    <row r="13" spans="1:57" s="4" customFormat="1">
      <c r="C13" s="5" t="s">
        <v>55</v>
      </c>
      <c r="D13" s="5" t="s">
        <v>56</v>
      </c>
      <c r="E13" s="5" t="s">
        <v>80</v>
      </c>
      <c r="F13" s="5" t="s">
        <v>96</v>
      </c>
      <c r="G13" s="5" t="s">
        <v>69</v>
      </c>
      <c r="H13" s="5">
        <v>36617009</v>
      </c>
      <c r="I13" s="5">
        <v>5841993202</v>
      </c>
      <c r="J13" s="5" t="s">
        <v>60</v>
      </c>
      <c r="K13" s="5" t="s">
        <v>97</v>
      </c>
      <c r="L13" s="5" t="s">
        <v>73</v>
      </c>
      <c r="M13" s="5" t="s">
        <v>79</v>
      </c>
      <c r="N13" s="5" t="s">
        <v>74</v>
      </c>
      <c r="O13" s="5"/>
      <c r="P13" s="5" t="s">
        <v>69</v>
      </c>
      <c r="Q13" s="11">
        <f t="shared" si="0"/>
        <v>7000</v>
      </c>
      <c r="R13" s="11">
        <f t="shared" si="1"/>
        <v>7000</v>
      </c>
      <c r="S13" s="5">
        <v>7</v>
      </c>
      <c r="T13" s="11">
        <f t="shared" si="2"/>
        <v>7000</v>
      </c>
      <c r="U13" s="11">
        <f t="shared" si="3"/>
        <v>7000</v>
      </c>
      <c r="V13" s="5">
        <v>7</v>
      </c>
      <c r="W13" s="11">
        <f t="shared" si="4"/>
        <v>7000</v>
      </c>
      <c r="X13" s="11">
        <f t="shared" si="5"/>
        <v>7000</v>
      </c>
      <c r="Y13" s="5">
        <v>7</v>
      </c>
      <c r="Z13" s="11">
        <f t="shared" si="6"/>
        <v>7000</v>
      </c>
      <c r="AA13" s="11">
        <f t="shared" si="7"/>
        <v>7000</v>
      </c>
      <c r="AB13" s="5">
        <v>7</v>
      </c>
      <c r="AC13" s="11">
        <f t="shared" si="8"/>
        <v>7000</v>
      </c>
      <c r="AD13" s="11">
        <f t="shared" si="9"/>
        <v>7000</v>
      </c>
      <c r="AE13" s="5">
        <v>7</v>
      </c>
      <c r="AF13" s="11">
        <f t="shared" si="10"/>
        <v>7000</v>
      </c>
      <c r="AG13" s="11">
        <f t="shared" si="11"/>
        <v>7000</v>
      </c>
      <c r="AH13" s="5">
        <v>7</v>
      </c>
      <c r="AI13" s="11">
        <f t="shared" si="12"/>
        <v>7000</v>
      </c>
      <c r="AJ13" s="11">
        <f t="shared" si="13"/>
        <v>7000</v>
      </c>
      <c r="AK13" s="5">
        <v>7</v>
      </c>
      <c r="AL13" s="11">
        <f t="shared" si="14"/>
        <v>7000</v>
      </c>
      <c r="AM13" s="11">
        <f t="shared" si="15"/>
        <v>7000</v>
      </c>
      <c r="AN13" s="5">
        <v>7</v>
      </c>
      <c r="AO13" s="11">
        <f t="shared" si="16"/>
        <v>7000</v>
      </c>
      <c r="AP13" s="11">
        <f t="shared" si="17"/>
        <v>7000</v>
      </c>
      <c r="AQ13" s="5">
        <v>7</v>
      </c>
      <c r="AR13" s="11">
        <f t="shared" si="18"/>
        <v>7000</v>
      </c>
      <c r="AS13" s="11">
        <f t="shared" si="19"/>
        <v>7000</v>
      </c>
      <c r="AT13" s="5">
        <v>7</v>
      </c>
      <c r="AU13" s="11">
        <f t="shared" si="20"/>
        <v>7000</v>
      </c>
      <c r="AV13" s="11">
        <f t="shared" si="21"/>
        <v>7000</v>
      </c>
      <c r="AW13" s="5">
        <v>7</v>
      </c>
      <c r="AX13" s="11">
        <f t="shared" si="22"/>
        <v>7000</v>
      </c>
      <c r="AY13" s="11">
        <f t="shared" si="23"/>
        <v>7000</v>
      </c>
      <c r="AZ13" s="5">
        <v>7</v>
      </c>
      <c r="BA13" s="5">
        <v>0</v>
      </c>
      <c r="BB13" s="11">
        <f t="shared" si="24"/>
        <v>84000</v>
      </c>
      <c r="BC13" s="11">
        <f t="shared" si="24"/>
        <v>84000</v>
      </c>
      <c r="BD13" s="5">
        <v>7</v>
      </c>
    </row>
    <row r="14" spans="1:57" s="6" customFormat="1">
      <c r="C14" s="7" t="s">
        <v>55</v>
      </c>
      <c r="D14" s="7" t="s">
        <v>56</v>
      </c>
      <c r="E14" s="7" t="s">
        <v>86</v>
      </c>
      <c r="F14" s="7" t="s">
        <v>98</v>
      </c>
      <c r="G14" s="7" t="s">
        <v>69</v>
      </c>
      <c r="H14" s="7">
        <v>38617007</v>
      </c>
      <c r="I14" s="7">
        <v>5842073202</v>
      </c>
      <c r="J14" s="7" t="s">
        <v>60</v>
      </c>
      <c r="K14" s="7" t="s">
        <v>99</v>
      </c>
      <c r="L14" s="7" t="s">
        <v>73</v>
      </c>
      <c r="M14" s="7" t="s">
        <v>79</v>
      </c>
      <c r="N14" s="7" t="s">
        <v>74</v>
      </c>
      <c r="O14" s="7"/>
      <c r="P14" s="7" t="s">
        <v>69</v>
      </c>
      <c r="Q14" s="12">
        <f t="shared" si="0"/>
        <v>6000</v>
      </c>
      <c r="R14" s="12">
        <f t="shared" si="1"/>
        <v>6000</v>
      </c>
      <c r="S14" s="7">
        <v>6</v>
      </c>
      <c r="T14" s="12">
        <f t="shared" si="2"/>
        <v>6000</v>
      </c>
      <c r="U14" s="12">
        <f t="shared" si="3"/>
        <v>6000</v>
      </c>
      <c r="V14" s="7">
        <v>6</v>
      </c>
      <c r="W14" s="12">
        <f t="shared" si="4"/>
        <v>6000</v>
      </c>
      <c r="X14" s="12">
        <f t="shared" si="5"/>
        <v>6000</v>
      </c>
      <c r="Y14" s="7">
        <v>6</v>
      </c>
      <c r="Z14" s="12">
        <f t="shared" si="6"/>
        <v>6000</v>
      </c>
      <c r="AA14" s="12">
        <f t="shared" si="7"/>
        <v>6000</v>
      </c>
      <c r="AB14" s="7">
        <v>6</v>
      </c>
      <c r="AC14" s="12">
        <f t="shared" si="8"/>
        <v>6000</v>
      </c>
      <c r="AD14" s="12">
        <f t="shared" si="9"/>
        <v>6000</v>
      </c>
      <c r="AE14" s="7">
        <v>6</v>
      </c>
      <c r="AF14" s="12">
        <f t="shared" si="10"/>
        <v>6000</v>
      </c>
      <c r="AG14" s="12">
        <f t="shared" si="11"/>
        <v>6000</v>
      </c>
      <c r="AH14" s="7">
        <v>6</v>
      </c>
      <c r="AI14" s="12">
        <f t="shared" si="12"/>
        <v>6000</v>
      </c>
      <c r="AJ14" s="12">
        <f t="shared" si="13"/>
        <v>6000</v>
      </c>
      <c r="AK14" s="7">
        <v>6</v>
      </c>
      <c r="AL14" s="12">
        <f t="shared" si="14"/>
        <v>6000</v>
      </c>
      <c r="AM14" s="12">
        <f t="shared" si="15"/>
        <v>6000</v>
      </c>
      <c r="AN14" s="7">
        <v>6</v>
      </c>
      <c r="AO14" s="12">
        <f t="shared" si="16"/>
        <v>6000</v>
      </c>
      <c r="AP14" s="12">
        <f t="shared" si="17"/>
        <v>6000</v>
      </c>
      <c r="AQ14" s="7">
        <v>6</v>
      </c>
      <c r="AR14" s="12">
        <f t="shared" si="18"/>
        <v>6000</v>
      </c>
      <c r="AS14" s="12">
        <f t="shared" si="19"/>
        <v>6000</v>
      </c>
      <c r="AT14" s="7">
        <v>6</v>
      </c>
      <c r="AU14" s="12">
        <f t="shared" si="20"/>
        <v>6000</v>
      </c>
      <c r="AV14" s="12">
        <f t="shared" si="21"/>
        <v>6000</v>
      </c>
      <c r="AW14" s="7">
        <v>6</v>
      </c>
      <c r="AX14" s="12">
        <f t="shared" si="22"/>
        <v>6000</v>
      </c>
      <c r="AY14" s="12">
        <f t="shared" si="23"/>
        <v>6000</v>
      </c>
      <c r="AZ14" s="7">
        <v>6</v>
      </c>
      <c r="BA14" s="7">
        <v>0</v>
      </c>
      <c r="BB14" s="12">
        <f t="shared" si="24"/>
        <v>72000</v>
      </c>
      <c r="BC14" s="12">
        <f t="shared" si="24"/>
        <v>72000</v>
      </c>
      <c r="BD14" s="7">
        <v>6</v>
      </c>
    </row>
    <row r="15" spans="1:57" s="4" customFormat="1">
      <c r="C15" s="5" t="s">
        <v>55</v>
      </c>
      <c r="D15" s="5" t="s">
        <v>56</v>
      </c>
      <c r="E15" s="5" t="s">
        <v>63</v>
      </c>
      <c r="F15" s="5" t="s">
        <v>100</v>
      </c>
      <c r="G15" s="5" t="s">
        <v>69</v>
      </c>
      <c r="H15" s="5">
        <v>36617003</v>
      </c>
      <c r="I15" s="5">
        <v>5842213202</v>
      </c>
      <c r="J15" s="5" t="s">
        <v>60</v>
      </c>
      <c r="K15" s="5" t="s">
        <v>101</v>
      </c>
      <c r="L15" s="5" t="s">
        <v>73</v>
      </c>
      <c r="M15" s="5" t="s">
        <v>79</v>
      </c>
      <c r="N15" s="5" t="s">
        <v>74</v>
      </c>
      <c r="O15" s="5"/>
      <c r="P15" s="5" t="s">
        <v>69</v>
      </c>
      <c r="Q15" s="11">
        <f t="shared" si="0"/>
        <v>5000</v>
      </c>
      <c r="R15" s="11">
        <f t="shared" si="1"/>
        <v>5000</v>
      </c>
      <c r="S15" s="5">
        <v>5</v>
      </c>
      <c r="T15" s="11">
        <f t="shared" si="2"/>
        <v>5000</v>
      </c>
      <c r="U15" s="11">
        <f t="shared" si="3"/>
        <v>5000</v>
      </c>
      <c r="V15" s="5">
        <v>5</v>
      </c>
      <c r="W15" s="11">
        <f t="shared" si="4"/>
        <v>5000</v>
      </c>
      <c r="X15" s="11">
        <f t="shared" si="5"/>
        <v>5000</v>
      </c>
      <c r="Y15" s="5">
        <v>5</v>
      </c>
      <c r="Z15" s="11">
        <f t="shared" si="6"/>
        <v>5000</v>
      </c>
      <c r="AA15" s="11">
        <f t="shared" si="7"/>
        <v>5000</v>
      </c>
      <c r="AB15" s="5">
        <v>5</v>
      </c>
      <c r="AC15" s="11">
        <f t="shared" si="8"/>
        <v>5000</v>
      </c>
      <c r="AD15" s="11">
        <f t="shared" si="9"/>
        <v>5000</v>
      </c>
      <c r="AE15" s="5">
        <v>5</v>
      </c>
      <c r="AF15" s="11">
        <f t="shared" si="10"/>
        <v>5000</v>
      </c>
      <c r="AG15" s="11">
        <f t="shared" si="11"/>
        <v>5000</v>
      </c>
      <c r="AH15" s="5">
        <v>5</v>
      </c>
      <c r="AI15" s="11">
        <f t="shared" si="12"/>
        <v>5000</v>
      </c>
      <c r="AJ15" s="11">
        <f t="shared" si="13"/>
        <v>5000</v>
      </c>
      <c r="AK15" s="5">
        <v>5</v>
      </c>
      <c r="AL15" s="11">
        <f t="shared" si="14"/>
        <v>5000</v>
      </c>
      <c r="AM15" s="11">
        <f t="shared" si="15"/>
        <v>5000</v>
      </c>
      <c r="AN15" s="5">
        <v>5</v>
      </c>
      <c r="AO15" s="11">
        <f t="shared" si="16"/>
        <v>5000</v>
      </c>
      <c r="AP15" s="11">
        <f t="shared" si="17"/>
        <v>5000</v>
      </c>
      <c r="AQ15" s="5">
        <v>5</v>
      </c>
      <c r="AR15" s="11">
        <f t="shared" si="18"/>
        <v>5000</v>
      </c>
      <c r="AS15" s="11">
        <f t="shared" si="19"/>
        <v>5000</v>
      </c>
      <c r="AT15" s="5">
        <v>5</v>
      </c>
      <c r="AU15" s="11">
        <f t="shared" si="20"/>
        <v>5000</v>
      </c>
      <c r="AV15" s="11">
        <f t="shared" si="21"/>
        <v>5000</v>
      </c>
      <c r="AW15" s="5">
        <v>5</v>
      </c>
      <c r="AX15" s="11">
        <f t="shared" si="22"/>
        <v>5000</v>
      </c>
      <c r="AY15" s="11">
        <f t="shared" si="23"/>
        <v>5000</v>
      </c>
      <c r="AZ15" s="5">
        <v>5</v>
      </c>
      <c r="BA15" s="5">
        <v>0</v>
      </c>
      <c r="BB15" s="11">
        <f t="shared" si="24"/>
        <v>60000</v>
      </c>
      <c r="BC15" s="11">
        <f t="shared" si="24"/>
        <v>60000</v>
      </c>
      <c r="BD15" s="5">
        <v>5</v>
      </c>
    </row>
    <row r="16" spans="1:57" s="6" customFormat="1">
      <c r="C16" s="7" t="s">
        <v>55</v>
      </c>
      <c r="D16" s="7" t="s">
        <v>56</v>
      </c>
      <c r="E16" s="7" t="s">
        <v>102</v>
      </c>
      <c r="F16" s="7" t="s">
        <v>103</v>
      </c>
      <c r="G16" s="7"/>
      <c r="H16" s="7" t="s">
        <v>104</v>
      </c>
      <c r="I16" s="7" t="s">
        <v>104</v>
      </c>
      <c r="J16" s="7" t="s">
        <v>60</v>
      </c>
      <c r="K16" s="7" t="s">
        <v>104</v>
      </c>
      <c r="L16" s="7" t="s">
        <v>78</v>
      </c>
      <c r="M16" s="7" t="s">
        <v>79</v>
      </c>
      <c r="N16" s="7" t="s">
        <v>74</v>
      </c>
      <c r="O16" s="7"/>
      <c r="P16" s="7" t="s">
        <v>69</v>
      </c>
      <c r="Q16" s="12">
        <f t="shared" si="0"/>
        <v>4000</v>
      </c>
      <c r="R16" s="12">
        <f t="shared" si="1"/>
        <v>4000</v>
      </c>
      <c r="S16" s="7">
        <v>4</v>
      </c>
      <c r="T16" s="12">
        <f t="shared" si="2"/>
        <v>4000</v>
      </c>
      <c r="U16" s="12">
        <f t="shared" si="3"/>
        <v>4000</v>
      </c>
      <c r="V16" s="7">
        <v>4</v>
      </c>
      <c r="W16" s="12">
        <f t="shared" si="4"/>
        <v>4000</v>
      </c>
      <c r="X16" s="12">
        <f t="shared" si="5"/>
        <v>4000</v>
      </c>
      <c r="Y16" s="7">
        <v>4</v>
      </c>
      <c r="Z16" s="12">
        <f t="shared" si="6"/>
        <v>4000</v>
      </c>
      <c r="AA16" s="12">
        <f t="shared" si="7"/>
        <v>4000</v>
      </c>
      <c r="AB16" s="7">
        <v>4</v>
      </c>
      <c r="AC16" s="12">
        <f t="shared" si="8"/>
        <v>4000</v>
      </c>
      <c r="AD16" s="12">
        <f t="shared" si="9"/>
        <v>4000</v>
      </c>
      <c r="AE16" s="7">
        <v>4</v>
      </c>
      <c r="AF16" s="12">
        <f t="shared" si="10"/>
        <v>4000</v>
      </c>
      <c r="AG16" s="12">
        <f t="shared" si="11"/>
        <v>4000</v>
      </c>
      <c r="AH16" s="7">
        <v>4</v>
      </c>
      <c r="AI16" s="12">
        <f t="shared" si="12"/>
        <v>4000</v>
      </c>
      <c r="AJ16" s="12">
        <f t="shared" si="13"/>
        <v>4000</v>
      </c>
      <c r="AK16" s="7">
        <v>4</v>
      </c>
      <c r="AL16" s="12">
        <f t="shared" si="14"/>
        <v>4000</v>
      </c>
      <c r="AM16" s="12">
        <f t="shared" si="15"/>
        <v>4000</v>
      </c>
      <c r="AN16" s="7">
        <v>4</v>
      </c>
      <c r="AO16" s="12">
        <f t="shared" si="16"/>
        <v>4000</v>
      </c>
      <c r="AP16" s="12">
        <f t="shared" si="17"/>
        <v>4000</v>
      </c>
      <c r="AQ16" s="7">
        <v>4</v>
      </c>
      <c r="AR16" s="12">
        <f t="shared" si="18"/>
        <v>4000</v>
      </c>
      <c r="AS16" s="12">
        <f t="shared" si="19"/>
        <v>4000</v>
      </c>
      <c r="AT16" s="7">
        <v>4</v>
      </c>
      <c r="AU16" s="12">
        <f t="shared" si="20"/>
        <v>4000</v>
      </c>
      <c r="AV16" s="12">
        <f t="shared" si="21"/>
        <v>4000</v>
      </c>
      <c r="AW16" s="7">
        <v>4</v>
      </c>
      <c r="AX16" s="12">
        <f t="shared" si="22"/>
        <v>4000</v>
      </c>
      <c r="AY16" s="12">
        <f t="shared" si="23"/>
        <v>4000</v>
      </c>
      <c r="AZ16" s="7">
        <v>4</v>
      </c>
      <c r="BA16" s="7">
        <v>0</v>
      </c>
      <c r="BB16" s="12">
        <f t="shared" si="24"/>
        <v>48000</v>
      </c>
      <c r="BC16" s="12">
        <f t="shared" si="24"/>
        <v>48000</v>
      </c>
      <c r="BD16" s="7">
        <v>4</v>
      </c>
    </row>
    <row r="17" spans="1:56" s="4" customFormat="1">
      <c r="A17" s="4" t="s">
        <v>69</v>
      </c>
      <c r="C17" s="5" t="s">
        <v>55</v>
      </c>
      <c r="D17" s="5" t="s">
        <v>56</v>
      </c>
      <c r="E17" s="5" t="s">
        <v>105</v>
      </c>
      <c r="F17" s="14" t="s">
        <v>106</v>
      </c>
      <c r="G17" s="5"/>
      <c r="H17" s="5" t="s">
        <v>107</v>
      </c>
      <c r="I17" s="5">
        <v>5842263202</v>
      </c>
      <c r="J17" s="5" t="s">
        <v>60</v>
      </c>
      <c r="K17" s="5" t="s">
        <v>107</v>
      </c>
      <c r="L17" s="5" t="s">
        <v>66</v>
      </c>
      <c r="M17" s="5" t="s">
        <v>79</v>
      </c>
      <c r="N17" s="5" t="s">
        <v>74</v>
      </c>
      <c r="O17" s="5"/>
      <c r="P17" s="5" t="s">
        <v>69</v>
      </c>
      <c r="Q17" s="11">
        <f t="shared" si="0"/>
        <v>5000</v>
      </c>
      <c r="R17" s="11">
        <f t="shared" si="1"/>
        <v>5000</v>
      </c>
      <c r="S17" s="5">
        <v>5</v>
      </c>
      <c r="T17" s="11">
        <f t="shared" si="2"/>
        <v>5000</v>
      </c>
      <c r="U17" s="11">
        <f t="shared" si="3"/>
        <v>5000</v>
      </c>
      <c r="V17" s="5">
        <v>5</v>
      </c>
      <c r="W17" s="11">
        <f t="shared" si="4"/>
        <v>5000</v>
      </c>
      <c r="X17" s="11">
        <f t="shared" si="5"/>
        <v>5000</v>
      </c>
      <c r="Y17" s="5">
        <v>5</v>
      </c>
      <c r="Z17" s="11">
        <f t="shared" si="6"/>
        <v>5000</v>
      </c>
      <c r="AA17" s="11">
        <f t="shared" si="7"/>
        <v>5000</v>
      </c>
      <c r="AB17" s="5">
        <v>5</v>
      </c>
      <c r="AC17" s="11">
        <f t="shared" si="8"/>
        <v>5000</v>
      </c>
      <c r="AD17" s="11">
        <f t="shared" si="9"/>
        <v>5000</v>
      </c>
      <c r="AE17" s="5">
        <v>5</v>
      </c>
      <c r="AF17" s="11">
        <f t="shared" si="10"/>
        <v>5000</v>
      </c>
      <c r="AG17" s="11">
        <f t="shared" si="11"/>
        <v>5000</v>
      </c>
      <c r="AH17" s="5">
        <v>5</v>
      </c>
      <c r="AI17" s="11">
        <f t="shared" si="12"/>
        <v>5000</v>
      </c>
      <c r="AJ17" s="11">
        <f t="shared" si="13"/>
        <v>5000</v>
      </c>
      <c r="AK17" s="5">
        <v>5</v>
      </c>
      <c r="AL17" s="11">
        <f t="shared" si="14"/>
        <v>5000</v>
      </c>
      <c r="AM17" s="11">
        <f t="shared" si="15"/>
        <v>5000</v>
      </c>
      <c r="AN17" s="5">
        <v>5</v>
      </c>
      <c r="AO17" s="11">
        <f t="shared" si="16"/>
        <v>5000</v>
      </c>
      <c r="AP17" s="11">
        <f t="shared" si="17"/>
        <v>5000</v>
      </c>
      <c r="AQ17" s="5">
        <v>5</v>
      </c>
      <c r="AR17" s="11">
        <f t="shared" si="18"/>
        <v>5000</v>
      </c>
      <c r="AS17" s="11">
        <f t="shared" si="19"/>
        <v>5000</v>
      </c>
      <c r="AT17" s="5">
        <v>5</v>
      </c>
      <c r="AU17" s="11">
        <f t="shared" si="20"/>
        <v>5000</v>
      </c>
      <c r="AV17" s="11">
        <f t="shared" si="21"/>
        <v>5000</v>
      </c>
      <c r="AW17" s="5">
        <v>5</v>
      </c>
      <c r="AX17" s="11">
        <f t="shared" si="22"/>
        <v>5000</v>
      </c>
      <c r="AY17" s="11">
        <f t="shared" si="23"/>
        <v>5000</v>
      </c>
      <c r="AZ17" s="5">
        <v>5</v>
      </c>
      <c r="BA17" s="5">
        <v>0</v>
      </c>
      <c r="BB17" s="11">
        <f t="shared" si="24"/>
        <v>60000</v>
      </c>
      <c r="BC17" s="11">
        <f t="shared" si="24"/>
        <v>60000</v>
      </c>
      <c r="BD17" s="5">
        <v>5</v>
      </c>
    </row>
    <row r="18" spans="1:56" s="6" customFormat="1">
      <c r="C18" s="7" t="s">
        <v>55</v>
      </c>
      <c r="D18" s="7" t="s">
        <v>56</v>
      </c>
      <c r="E18" s="7" t="s">
        <v>102</v>
      </c>
      <c r="F18" s="7" t="s">
        <v>108</v>
      </c>
      <c r="G18" s="7" t="s">
        <v>69</v>
      </c>
      <c r="H18" s="7">
        <v>36617006</v>
      </c>
      <c r="I18" s="7">
        <v>5842083202</v>
      </c>
      <c r="J18" s="7" t="s">
        <v>60</v>
      </c>
      <c r="K18" s="7" t="s">
        <v>109</v>
      </c>
      <c r="L18" s="7" t="s">
        <v>73</v>
      </c>
      <c r="M18" s="7" t="s">
        <v>79</v>
      </c>
      <c r="N18" s="7" t="s">
        <v>74</v>
      </c>
      <c r="O18" s="7"/>
      <c r="P18" s="7" t="s">
        <v>69</v>
      </c>
      <c r="Q18" s="12">
        <f t="shared" si="0"/>
        <v>7000</v>
      </c>
      <c r="R18" s="12">
        <f t="shared" si="1"/>
        <v>7000</v>
      </c>
      <c r="S18" s="7">
        <v>7</v>
      </c>
      <c r="T18" s="12">
        <f t="shared" si="2"/>
        <v>7000</v>
      </c>
      <c r="U18" s="12">
        <f t="shared" si="3"/>
        <v>7000</v>
      </c>
      <c r="V18" s="7">
        <v>7</v>
      </c>
      <c r="W18" s="12">
        <f t="shared" si="4"/>
        <v>7000</v>
      </c>
      <c r="X18" s="12">
        <f t="shared" si="5"/>
        <v>7000</v>
      </c>
      <c r="Y18" s="7">
        <v>7</v>
      </c>
      <c r="Z18" s="12">
        <f t="shared" si="6"/>
        <v>7000</v>
      </c>
      <c r="AA18" s="12">
        <f t="shared" si="7"/>
        <v>7000</v>
      </c>
      <c r="AB18" s="7">
        <v>7</v>
      </c>
      <c r="AC18" s="12">
        <f t="shared" si="8"/>
        <v>7000</v>
      </c>
      <c r="AD18" s="12">
        <f t="shared" si="9"/>
        <v>7000</v>
      </c>
      <c r="AE18" s="7">
        <v>7</v>
      </c>
      <c r="AF18" s="12">
        <f t="shared" si="10"/>
        <v>7000</v>
      </c>
      <c r="AG18" s="12">
        <f t="shared" si="11"/>
        <v>7000</v>
      </c>
      <c r="AH18" s="7">
        <v>7</v>
      </c>
      <c r="AI18" s="12">
        <f t="shared" si="12"/>
        <v>7000</v>
      </c>
      <c r="AJ18" s="12">
        <f t="shared" si="13"/>
        <v>7000</v>
      </c>
      <c r="AK18" s="7">
        <v>7</v>
      </c>
      <c r="AL18" s="12">
        <f t="shared" si="14"/>
        <v>7000</v>
      </c>
      <c r="AM18" s="12">
        <f t="shared" si="15"/>
        <v>7000</v>
      </c>
      <c r="AN18" s="7">
        <v>7</v>
      </c>
      <c r="AO18" s="12">
        <f t="shared" si="16"/>
        <v>7000</v>
      </c>
      <c r="AP18" s="12">
        <f t="shared" si="17"/>
        <v>7000</v>
      </c>
      <c r="AQ18" s="7">
        <v>7</v>
      </c>
      <c r="AR18" s="12">
        <f t="shared" si="18"/>
        <v>7000</v>
      </c>
      <c r="AS18" s="12">
        <f t="shared" si="19"/>
        <v>7000</v>
      </c>
      <c r="AT18" s="7">
        <v>7</v>
      </c>
      <c r="AU18" s="12">
        <f t="shared" si="20"/>
        <v>7000</v>
      </c>
      <c r="AV18" s="12">
        <f t="shared" si="21"/>
        <v>7000</v>
      </c>
      <c r="AW18" s="7">
        <v>7</v>
      </c>
      <c r="AX18" s="12">
        <f t="shared" si="22"/>
        <v>7000</v>
      </c>
      <c r="AY18" s="12">
        <f t="shared" si="23"/>
        <v>7000</v>
      </c>
      <c r="AZ18" s="7">
        <v>7</v>
      </c>
      <c r="BA18" s="7">
        <v>0</v>
      </c>
      <c r="BB18" s="12">
        <f t="shared" si="24"/>
        <v>84000</v>
      </c>
      <c r="BC18" s="12">
        <f t="shared" si="24"/>
        <v>84000</v>
      </c>
      <c r="BD18" s="7">
        <v>7</v>
      </c>
    </row>
    <row r="19" spans="1:56" s="4" customFormat="1">
      <c r="C19" s="5" t="s">
        <v>55</v>
      </c>
      <c r="D19" s="5" t="s">
        <v>56</v>
      </c>
      <c r="E19" s="5" t="s">
        <v>75</v>
      </c>
      <c r="F19" s="5" t="s">
        <v>110</v>
      </c>
      <c r="G19" s="5" t="s">
        <v>69</v>
      </c>
      <c r="H19" s="5">
        <v>38617002</v>
      </c>
      <c r="I19" s="5">
        <v>5842283202</v>
      </c>
      <c r="J19" s="5" t="s">
        <v>60</v>
      </c>
      <c r="K19" s="5" t="s">
        <v>111</v>
      </c>
      <c r="L19" s="5" t="s">
        <v>73</v>
      </c>
      <c r="M19" s="5" t="s">
        <v>79</v>
      </c>
      <c r="N19" s="5" t="s">
        <v>74</v>
      </c>
      <c r="O19" s="5"/>
      <c r="P19" s="5" t="s">
        <v>69</v>
      </c>
      <c r="Q19" s="11">
        <f t="shared" si="0"/>
        <v>7000</v>
      </c>
      <c r="R19" s="11">
        <f t="shared" si="1"/>
        <v>7000</v>
      </c>
      <c r="S19" s="5">
        <v>7</v>
      </c>
      <c r="T19" s="11">
        <f t="shared" si="2"/>
        <v>7000</v>
      </c>
      <c r="U19" s="11">
        <f t="shared" si="3"/>
        <v>7000</v>
      </c>
      <c r="V19" s="5">
        <v>7</v>
      </c>
      <c r="W19" s="11">
        <f t="shared" si="4"/>
        <v>7000</v>
      </c>
      <c r="X19" s="11">
        <f t="shared" si="5"/>
        <v>7000</v>
      </c>
      <c r="Y19" s="5">
        <v>7</v>
      </c>
      <c r="Z19" s="11">
        <f t="shared" si="6"/>
        <v>7000</v>
      </c>
      <c r="AA19" s="11">
        <f t="shared" si="7"/>
        <v>7000</v>
      </c>
      <c r="AB19" s="5">
        <v>7</v>
      </c>
      <c r="AC19" s="11">
        <f t="shared" si="8"/>
        <v>7000</v>
      </c>
      <c r="AD19" s="11">
        <f t="shared" si="9"/>
        <v>7000</v>
      </c>
      <c r="AE19" s="5">
        <v>7</v>
      </c>
      <c r="AF19" s="11">
        <f t="shared" si="10"/>
        <v>7000</v>
      </c>
      <c r="AG19" s="11">
        <f t="shared" si="11"/>
        <v>7000</v>
      </c>
      <c r="AH19" s="5">
        <v>7</v>
      </c>
      <c r="AI19" s="11">
        <f t="shared" si="12"/>
        <v>7000</v>
      </c>
      <c r="AJ19" s="11">
        <f t="shared" si="13"/>
        <v>7000</v>
      </c>
      <c r="AK19" s="5">
        <v>7</v>
      </c>
      <c r="AL19" s="11">
        <f t="shared" si="14"/>
        <v>7000</v>
      </c>
      <c r="AM19" s="11">
        <f t="shared" si="15"/>
        <v>7000</v>
      </c>
      <c r="AN19" s="5">
        <v>7</v>
      </c>
      <c r="AO19" s="11">
        <f t="shared" si="16"/>
        <v>7000</v>
      </c>
      <c r="AP19" s="11">
        <f t="shared" si="17"/>
        <v>7000</v>
      </c>
      <c r="AQ19" s="5">
        <v>7</v>
      </c>
      <c r="AR19" s="11">
        <f t="shared" si="18"/>
        <v>7000</v>
      </c>
      <c r="AS19" s="11">
        <f t="shared" si="19"/>
        <v>7000</v>
      </c>
      <c r="AT19" s="5">
        <v>7</v>
      </c>
      <c r="AU19" s="11">
        <f t="shared" si="20"/>
        <v>7000</v>
      </c>
      <c r="AV19" s="11">
        <f t="shared" si="21"/>
        <v>7000</v>
      </c>
      <c r="AW19" s="5">
        <v>7</v>
      </c>
      <c r="AX19" s="11">
        <f t="shared" si="22"/>
        <v>7000</v>
      </c>
      <c r="AY19" s="11">
        <f t="shared" si="23"/>
        <v>7000</v>
      </c>
      <c r="AZ19" s="5">
        <v>7</v>
      </c>
      <c r="BA19" s="5">
        <v>0</v>
      </c>
      <c r="BB19" s="11">
        <f t="shared" si="24"/>
        <v>84000</v>
      </c>
      <c r="BC19" s="11">
        <f t="shared" si="24"/>
        <v>84000</v>
      </c>
      <c r="BD19" s="5">
        <v>7</v>
      </c>
    </row>
    <row r="20" spans="1:56" s="6" customFormat="1">
      <c r="B20" s="6" t="s">
        <v>69</v>
      </c>
      <c r="C20" s="7" t="s">
        <v>55</v>
      </c>
      <c r="D20" s="7" t="s">
        <v>56</v>
      </c>
      <c r="E20" s="7" t="s">
        <v>63</v>
      </c>
      <c r="F20" s="14" t="s">
        <v>112</v>
      </c>
      <c r="G20" s="7"/>
      <c r="H20" s="7" t="s">
        <v>113</v>
      </c>
      <c r="I20" s="7">
        <v>5841813202</v>
      </c>
      <c r="J20" s="7" t="s">
        <v>60</v>
      </c>
      <c r="K20" s="7" t="s">
        <v>113</v>
      </c>
      <c r="L20" s="7" t="s">
        <v>66</v>
      </c>
      <c r="M20" s="7" t="s">
        <v>67</v>
      </c>
      <c r="N20" s="7" t="s">
        <v>68</v>
      </c>
      <c r="O20" s="7"/>
      <c r="P20" s="7" t="s">
        <v>69</v>
      </c>
      <c r="Q20" s="12">
        <f t="shared" si="0"/>
        <v>3000</v>
      </c>
      <c r="R20" s="12">
        <f t="shared" si="1"/>
        <v>3000</v>
      </c>
      <c r="S20" s="7">
        <v>3</v>
      </c>
      <c r="T20" s="12">
        <f t="shared" si="2"/>
        <v>3000</v>
      </c>
      <c r="U20" s="12">
        <f t="shared" si="3"/>
        <v>3000</v>
      </c>
      <c r="V20" s="7">
        <v>3</v>
      </c>
      <c r="W20" s="12">
        <f t="shared" si="4"/>
        <v>3000</v>
      </c>
      <c r="X20" s="12">
        <f t="shared" si="5"/>
        <v>3000</v>
      </c>
      <c r="Y20" s="7">
        <v>3</v>
      </c>
      <c r="Z20" s="12">
        <f t="shared" si="6"/>
        <v>3000</v>
      </c>
      <c r="AA20" s="12">
        <f t="shared" si="7"/>
        <v>3000</v>
      </c>
      <c r="AB20" s="7">
        <v>3</v>
      </c>
      <c r="AC20" s="12">
        <f t="shared" si="8"/>
        <v>3000</v>
      </c>
      <c r="AD20" s="12">
        <f t="shared" si="9"/>
        <v>3000</v>
      </c>
      <c r="AE20" s="7">
        <v>3</v>
      </c>
      <c r="AF20" s="12">
        <f t="shared" si="10"/>
        <v>3000</v>
      </c>
      <c r="AG20" s="12">
        <f t="shared" si="11"/>
        <v>3000</v>
      </c>
      <c r="AH20" s="7">
        <v>3</v>
      </c>
      <c r="AI20" s="12">
        <f t="shared" si="12"/>
        <v>3000</v>
      </c>
      <c r="AJ20" s="12">
        <f t="shared" si="13"/>
        <v>3000</v>
      </c>
      <c r="AK20" s="7">
        <v>3</v>
      </c>
      <c r="AL20" s="12">
        <f t="shared" si="14"/>
        <v>3000</v>
      </c>
      <c r="AM20" s="12">
        <f t="shared" si="15"/>
        <v>3000</v>
      </c>
      <c r="AN20" s="7">
        <v>3</v>
      </c>
      <c r="AO20" s="12">
        <f t="shared" si="16"/>
        <v>3000</v>
      </c>
      <c r="AP20" s="12">
        <f t="shared" si="17"/>
        <v>3000</v>
      </c>
      <c r="AQ20" s="7">
        <v>3</v>
      </c>
      <c r="AR20" s="12">
        <f t="shared" si="18"/>
        <v>3000</v>
      </c>
      <c r="AS20" s="12">
        <f t="shared" si="19"/>
        <v>3000</v>
      </c>
      <c r="AT20" s="7">
        <v>3</v>
      </c>
      <c r="AU20" s="12">
        <f t="shared" si="20"/>
        <v>3000</v>
      </c>
      <c r="AV20" s="12">
        <f t="shared" si="21"/>
        <v>3000</v>
      </c>
      <c r="AW20" s="7">
        <v>3</v>
      </c>
      <c r="AX20" s="12">
        <f t="shared" si="22"/>
        <v>3000</v>
      </c>
      <c r="AY20" s="12">
        <f t="shared" si="23"/>
        <v>3000</v>
      </c>
      <c r="AZ20" s="7">
        <v>3</v>
      </c>
      <c r="BA20" s="7">
        <v>0</v>
      </c>
      <c r="BB20" s="12">
        <f t="shared" si="24"/>
        <v>36000</v>
      </c>
      <c r="BC20" s="12">
        <f t="shared" si="24"/>
        <v>36000</v>
      </c>
      <c r="BD20" s="7">
        <v>3</v>
      </c>
    </row>
    <row r="21" spans="1:56" s="4" customFormat="1">
      <c r="C21" s="5" t="s">
        <v>55</v>
      </c>
      <c r="D21" s="5" t="s">
        <v>56</v>
      </c>
      <c r="E21" s="5" t="s">
        <v>63</v>
      </c>
      <c r="F21" s="5" t="s">
        <v>114</v>
      </c>
      <c r="G21" s="5"/>
      <c r="H21" s="5">
        <v>129855</v>
      </c>
      <c r="I21" s="5">
        <v>5841813202</v>
      </c>
      <c r="J21" s="5" t="s">
        <v>60</v>
      </c>
      <c r="K21" s="5" t="s">
        <v>115</v>
      </c>
      <c r="L21" s="5" t="s">
        <v>73</v>
      </c>
      <c r="M21" s="5" t="s">
        <v>67</v>
      </c>
      <c r="N21" s="5" t="s">
        <v>74</v>
      </c>
      <c r="O21" s="5"/>
      <c r="P21" s="5" t="s">
        <v>69</v>
      </c>
      <c r="Q21" s="11">
        <f t="shared" si="0"/>
        <v>3000</v>
      </c>
      <c r="R21" s="11">
        <f t="shared" si="1"/>
        <v>3000</v>
      </c>
      <c r="S21" s="5">
        <v>3</v>
      </c>
      <c r="T21" s="11">
        <f t="shared" si="2"/>
        <v>3000</v>
      </c>
      <c r="U21" s="11">
        <f t="shared" si="3"/>
        <v>3000</v>
      </c>
      <c r="V21" s="5">
        <v>3</v>
      </c>
      <c r="W21" s="11">
        <f t="shared" si="4"/>
        <v>3000</v>
      </c>
      <c r="X21" s="11">
        <f t="shared" si="5"/>
        <v>3000</v>
      </c>
      <c r="Y21" s="5">
        <v>3</v>
      </c>
      <c r="Z21" s="11">
        <f t="shared" si="6"/>
        <v>3000</v>
      </c>
      <c r="AA21" s="11">
        <f t="shared" si="7"/>
        <v>3000</v>
      </c>
      <c r="AB21" s="5">
        <v>3</v>
      </c>
      <c r="AC21" s="11">
        <f t="shared" si="8"/>
        <v>3000</v>
      </c>
      <c r="AD21" s="11">
        <f t="shared" si="9"/>
        <v>3000</v>
      </c>
      <c r="AE21" s="5">
        <v>3</v>
      </c>
      <c r="AF21" s="11">
        <f t="shared" si="10"/>
        <v>3000</v>
      </c>
      <c r="AG21" s="11">
        <f t="shared" si="11"/>
        <v>3000</v>
      </c>
      <c r="AH21" s="5">
        <v>3</v>
      </c>
      <c r="AI21" s="11">
        <f t="shared" si="12"/>
        <v>3000</v>
      </c>
      <c r="AJ21" s="11">
        <f t="shared" si="13"/>
        <v>3000</v>
      </c>
      <c r="AK21" s="5">
        <v>3</v>
      </c>
      <c r="AL21" s="11">
        <f t="shared" si="14"/>
        <v>3000</v>
      </c>
      <c r="AM21" s="11">
        <f t="shared" si="15"/>
        <v>3000</v>
      </c>
      <c r="AN21" s="5">
        <v>3</v>
      </c>
      <c r="AO21" s="11">
        <f t="shared" si="16"/>
        <v>3000</v>
      </c>
      <c r="AP21" s="11">
        <f t="shared" si="17"/>
        <v>3000</v>
      </c>
      <c r="AQ21" s="5">
        <v>3</v>
      </c>
      <c r="AR21" s="11">
        <f t="shared" si="18"/>
        <v>3000</v>
      </c>
      <c r="AS21" s="11">
        <f t="shared" si="19"/>
        <v>3000</v>
      </c>
      <c r="AT21" s="5">
        <v>3</v>
      </c>
      <c r="AU21" s="11">
        <f t="shared" si="20"/>
        <v>3000</v>
      </c>
      <c r="AV21" s="11">
        <f t="shared" si="21"/>
        <v>3000</v>
      </c>
      <c r="AW21" s="5">
        <v>3</v>
      </c>
      <c r="AX21" s="11">
        <f t="shared" si="22"/>
        <v>3000</v>
      </c>
      <c r="AY21" s="11">
        <f t="shared" si="23"/>
        <v>3000</v>
      </c>
      <c r="AZ21" s="5">
        <v>3</v>
      </c>
      <c r="BA21" s="5">
        <v>0</v>
      </c>
      <c r="BB21" s="11">
        <f t="shared" si="24"/>
        <v>36000</v>
      </c>
      <c r="BC21" s="11">
        <f t="shared" si="24"/>
        <v>36000</v>
      </c>
      <c r="BD21" s="5">
        <v>3</v>
      </c>
    </row>
    <row r="22" spans="1:56" s="6" customFormat="1">
      <c r="C22" s="7" t="s">
        <v>55</v>
      </c>
      <c r="D22" s="7" t="s">
        <v>56</v>
      </c>
      <c r="E22" s="7" t="s">
        <v>116</v>
      </c>
      <c r="F22" s="7" t="s">
        <v>117</v>
      </c>
      <c r="G22" s="7"/>
      <c r="H22" s="7">
        <v>365477</v>
      </c>
      <c r="I22" s="7">
        <v>5841813202</v>
      </c>
      <c r="J22" s="7" t="s">
        <v>60</v>
      </c>
      <c r="K22" s="7" t="s">
        <v>118</v>
      </c>
      <c r="L22" s="7" t="s">
        <v>73</v>
      </c>
      <c r="M22" s="7" t="s">
        <v>67</v>
      </c>
      <c r="N22" s="7" t="s">
        <v>74</v>
      </c>
      <c r="O22" s="7"/>
      <c r="P22" s="7" t="s">
        <v>69</v>
      </c>
      <c r="Q22" s="12">
        <f t="shared" si="0"/>
        <v>5000</v>
      </c>
      <c r="R22" s="12">
        <f t="shared" si="1"/>
        <v>5000</v>
      </c>
      <c r="S22" s="7">
        <v>5</v>
      </c>
      <c r="T22" s="12">
        <f t="shared" si="2"/>
        <v>5000</v>
      </c>
      <c r="U22" s="12">
        <f t="shared" si="3"/>
        <v>5000</v>
      </c>
      <c r="V22" s="7">
        <v>5</v>
      </c>
      <c r="W22" s="12">
        <f t="shared" si="4"/>
        <v>5000</v>
      </c>
      <c r="X22" s="12">
        <f t="shared" si="5"/>
        <v>5000</v>
      </c>
      <c r="Y22" s="7">
        <v>5</v>
      </c>
      <c r="Z22" s="12">
        <f t="shared" si="6"/>
        <v>5000</v>
      </c>
      <c r="AA22" s="12">
        <f t="shared" si="7"/>
        <v>5000</v>
      </c>
      <c r="AB22" s="7">
        <v>5</v>
      </c>
      <c r="AC22" s="12">
        <f t="shared" si="8"/>
        <v>5000</v>
      </c>
      <c r="AD22" s="12">
        <f t="shared" si="9"/>
        <v>5000</v>
      </c>
      <c r="AE22" s="7">
        <v>5</v>
      </c>
      <c r="AF22" s="12">
        <f t="shared" si="10"/>
        <v>5000</v>
      </c>
      <c r="AG22" s="12">
        <f t="shared" si="11"/>
        <v>5000</v>
      </c>
      <c r="AH22" s="7">
        <v>5</v>
      </c>
      <c r="AI22" s="12">
        <f t="shared" si="12"/>
        <v>5000</v>
      </c>
      <c r="AJ22" s="12">
        <f t="shared" si="13"/>
        <v>5000</v>
      </c>
      <c r="AK22" s="7">
        <v>5</v>
      </c>
      <c r="AL22" s="12">
        <f t="shared" si="14"/>
        <v>5000</v>
      </c>
      <c r="AM22" s="12">
        <f t="shared" si="15"/>
        <v>5000</v>
      </c>
      <c r="AN22" s="7">
        <v>5</v>
      </c>
      <c r="AO22" s="12">
        <f t="shared" si="16"/>
        <v>5000</v>
      </c>
      <c r="AP22" s="12">
        <f t="shared" si="17"/>
        <v>5000</v>
      </c>
      <c r="AQ22" s="7">
        <v>5</v>
      </c>
      <c r="AR22" s="12">
        <f t="shared" si="18"/>
        <v>5000</v>
      </c>
      <c r="AS22" s="12">
        <f t="shared" si="19"/>
        <v>5000</v>
      </c>
      <c r="AT22" s="7">
        <v>5</v>
      </c>
      <c r="AU22" s="12">
        <f t="shared" si="20"/>
        <v>5000</v>
      </c>
      <c r="AV22" s="12">
        <f t="shared" si="21"/>
        <v>5000</v>
      </c>
      <c r="AW22" s="7">
        <v>5</v>
      </c>
      <c r="AX22" s="12">
        <f t="shared" si="22"/>
        <v>5000</v>
      </c>
      <c r="AY22" s="12">
        <f t="shared" si="23"/>
        <v>5000</v>
      </c>
      <c r="AZ22" s="7">
        <v>5</v>
      </c>
      <c r="BA22" s="7">
        <v>0</v>
      </c>
      <c r="BB22" s="12">
        <f t="shared" si="24"/>
        <v>60000</v>
      </c>
      <c r="BC22" s="12">
        <f t="shared" si="24"/>
        <v>60000</v>
      </c>
      <c r="BD22" s="7">
        <v>5</v>
      </c>
    </row>
    <row r="23" spans="1:56" s="4" customFormat="1">
      <c r="C23" s="5" t="s">
        <v>55</v>
      </c>
      <c r="D23" s="5" t="s">
        <v>56</v>
      </c>
      <c r="E23" s="5" t="s">
        <v>119</v>
      </c>
      <c r="F23" s="5" t="s">
        <v>120</v>
      </c>
      <c r="G23" s="5"/>
      <c r="H23" s="5" t="s">
        <v>121</v>
      </c>
      <c r="I23" s="5">
        <v>5841813202</v>
      </c>
      <c r="J23" s="5" t="s">
        <v>60</v>
      </c>
      <c r="K23" s="5" t="s">
        <v>121</v>
      </c>
      <c r="L23" s="5" t="s">
        <v>66</v>
      </c>
      <c r="M23" s="5" t="s">
        <v>67</v>
      </c>
      <c r="N23" s="5" t="s">
        <v>74</v>
      </c>
      <c r="O23" s="5"/>
      <c r="P23" s="5" t="s">
        <v>69</v>
      </c>
      <c r="Q23" s="11">
        <f t="shared" si="0"/>
        <v>4000</v>
      </c>
      <c r="R23" s="11">
        <f t="shared" si="1"/>
        <v>4000</v>
      </c>
      <c r="S23" s="5">
        <v>4</v>
      </c>
      <c r="T23" s="11">
        <f t="shared" si="2"/>
        <v>4000</v>
      </c>
      <c r="U23" s="11">
        <f t="shared" si="3"/>
        <v>4000</v>
      </c>
      <c r="V23" s="5">
        <v>4</v>
      </c>
      <c r="W23" s="11">
        <f t="shared" si="4"/>
        <v>4000</v>
      </c>
      <c r="X23" s="11">
        <f t="shared" si="5"/>
        <v>4000</v>
      </c>
      <c r="Y23" s="5">
        <v>4</v>
      </c>
      <c r="Z23" s="11">
        <f t="shared" si="6"/>
        <v>4000</v>
      </c>
      <c r="AA23" s="11">
        <f t="shared" si="7"/>
        <v>4000</v>
      </c>
      <c r="AB23" s="5">
        <v>4</v>
      </c>
      <c r="AC23" s="11">
        <f t="shared" si="8"/>
        <v>4000</v>
      </c>
      <c r="AD23" s="11">
        <f t="shared" si="9"/>
        <v>4000</v>
      </c>
      <c r="AE23" s="5">
        <v>4</v>
      </c>
      <c r="AF23" s="11">
        <f t="shared" si="10"/>
        <v>4000</v>
      </c>
      <c r="AG23" s="11">
        <f t="shared" si="11"/>
        <v>4000</v>
      </c>
      <c r="AH23" s="5">
        <v>4</v>
      </c>
      <c r="AI23" s="11">
        <f t="shared" si="12"/>
        <v>4000</v>
      </c>
      <c r="AJ23" s="11">
        <f t="shared" si="13"/>
        <v>4000</v>
      </c>
      <c r="AK23" s="5">
        <v>4</v>
      </c>
      <c r="AL23" s="11">
        <f t="shared" si="14"/>
        <v>4000</v>
      </c>
      <c r="AM23" s="11">
        <f t="shared" si="15"/>
        <v>4000</v>
      </c>
      <c r="AN23" s="5">
        <v>4</v>
      </c>
      <c r="AO23" s="11">
        <f t="shared" si="16"/>
        <v>4000</v>
      </c>
      <c r="AP23" s="11">
        <f t="shared" si="17"/>
        <v>4000</v>
      </c>
      <c r="AQ23" s="5">
        <v>4</v>
      </c>
      <c r="AR23" s="11">
        <f t="shared" si="18"/>
        <v>4000</v>
      </c>
      <c r="AS23" s="11">
        <f t="shared" si="19"/>
        <v>4000</v>
      </c>
      <c r="AT23" s="5">
        <v>4</v>
      </c>
      <c r="AU23" s="11">
        <f t="shared" si="20"/>
        <v>4000</v>
      </c>
      <c r="AV23" s="11">
        <f t="shared" si="21"/>
        <v>4000</v>
      </c>
      <c r="AW23" s="5">
        <v>4</v>
      </c>
      <c r="AX23" s="11">
        <f t="shared" si="22"/>
        <v>4000</v>
      </c>
      <c r="AY23" s="11">
        <f t="shared" si="23"/>
        <v>4000</v>
      </c>
      <c r="AZ23" s="5">
        <v>4</v>
      </c>
      <c r="BA23" s="5">
        <v>0</v>
      </c>
      <c r="BB23" s="11">
        <f t="shared" si="24"/>
        <v>48000</v>
      </c>
      <c r="BC23" s="11">
        <f t="shared" si="24"/>
        <v>48000</v>
      </c>
      <c r="BD23" s="5">
        <v>4</v>
      </c>
    </row>
    <row r="24" spans="1:56" s="6" customFormat="1">
      <c r="C24" s="7" t="s">
        <v>55</v>
      </c>
      <c r="D24" s="7" t="s">
        <v>56</v>
      </c>
      <c r="E24" s="7" t="s">
        <v>75</v>
      </c>
      <c r="F24" s="7" t="s">
        <v>122</v>
      </c>
      <c r="G24" s="7"/>
      <c r="H24" s="7">
        <v>38617005</v>
      </c>
      <c r="I24" s="7">
        <v>5841843202</v>
      </c>
      <c r="J24" s="7" t="s">
        <v>60</v>
      </c>
      <c r="K24" s="7" t="s">
        <v>123</v>
      </c>
      <c r="L24" s="7" t="s">
        <v>73</v>
      </c>
      <c r="M24" s="7" t="s">
        <v>79</v>
      </c>
      <c r="N24" s="7" t="s">
        <v>74</v>
      </c>
      <c r="O24" s="7"/>
      <c r="P24" s="7" t="s">
        <v>69</v>
      </c>
      <c r="Q24" s="12">
        <f t="shared" si="0"/>
        <v>3000</v>
      </c>
      <c r="R24" s="12">
        <f t="shared" si="1"/>
        <v>3000</v>
      </c>
      <c r="S24" s="7">
        <v>3</v>
      </c>
      <c r="T24" s="12">
        <f t="shared" si="2"/>
        <v>3000</v>
      </c>
      <c r="U24" s="12">
        <f t="shared" si="3"/>
        <v>3000</v>
      </c>
      <c r="V24" s="7">
        <v>3</v>
      </c>
      <c r="W24" s="12">
        <f t="shared" si="4"/>
        <v>3000</v>
      </c>
      <c r="X24" s="12">
        <f t="shared" si="5"/>
        <v>3000</v>
      </c>
      <c r="Y24" s="7">
        <v>3</v>
      </c>
      <c r="Z24" s="12">
        <f t="shared" si="6"/>
        <v>0</v>
      </c>
      <c r="AA24" s="12">
        <f t="shared" si="7"/>
        <v>0</v>
      </c>
      <c r="AB24" s="7">
        <v>0</v>
      </c>
      <c r="AC24" s="12">
        <f t="shared" si="8"/>
        <v>0</v>
      </c>
      <c r="AD24" s="12">
        <f t="shared" si="9"/>
        <v>0</v>
      </c>
      <c r="AE24" s="7">
        <v>0</v>
      </c>
      <c r="AF24" s="12">
        <f t="shared" si="10"/>
        <v>0</v>
      </c>
      <c r="AG24" s="12">
        <f t="shared" si="11"/>
        <v>0</v>
      </c>
      <c r="AH24" s="7">
        <v>0</v>
      </c>
      <c r="AI24" s="12">
        <f t="shared" si="12"/>
        <v>0</v>
      </c>
      <c r="AJ24" s="12">
        <f t="shared" si="13"/>
        <v>0</v>
      </c>
      <c r="AK24" s="7">
        <v>0</v>
      </c>
      <c r="AL24" s="12">
        <f t="shared" si="14"/>
        <v>0</v>
      </c>
      <c r="AM24" s="12">
        <f t="shared" si="15"/>
        <v>0</v>
      </c>
      <c r="AN24" s="7">
        <v>0</v>
      </c>
      <c r="AO24" s="12">
        <f t="shared" si="16"/>
        <v>0</v>
      </c>
      <c r="AP24" s="12">
        <f t="shared" si="17"/>
        <v>0</v>
      </c>
      <c r="AQ24" s="7">
        <v>0</v>
      </c>
      <c r="AR24" s="12">
        <f t="shared" si="18"/>
        <v>0</v>
      </c>
      <c r="AS24" s="12">
        <f t="shared" si="19"/>
        <v>0</v>
      </c>
      <c r="AT24" s="7">
        <v>0</v>
      </c>
      <c r="AU24" s="12">
        <f t="shared" si="20"/>
        <v>0</v>
      </c>
      <c r="AV24" s="12">
        <f t="shared" si="21"/>
        <v>0</v>
      </c>
      <c r="AW24" s="7">
        <v>0</v>
      </c>
      <c r="AX24" s="12">
        <f t="shared" si="22"/>
        <v>0</v>
      </c>
      <c r="AY24" s="12">
        <f t="shared" si="23"/>
        <v>0</v>
      </c>
      <c r="AZ24" s="7">
        <v>0</v>
      </c>
      <c r="BA24" s="7">
        <v>0</v>
      </c>
      <c r="BB24" s="12">
        <f t="shared" si="24"/>
        <v>9000</v>
      </c>
      <c r="BC24" s="12">
        <f t="shared" si="24"/>
        <v>9000</v>
      </c>
      <c r="BD24" s="7">
        <v>0.8</v>
      </c>
    </row>
    <row r="25" spans="1:56" s="4" customFormat="1">
      <c r="C25" s="5"/>
      <c r="D25" s="5"/>
      <c r="E25" s="5"/>
      <c r="F25" s="5"/>
      <c r="G25" s="5"/>
      <c r="H25" s="5"/>
      <c r="I25" s="5"/>
      <c r="J25" s="13" t="s">
        <v>127</v>
      </c>
      <c r="K25" s="5"/>
      <c r="L25" s="5"/>
      <c r="M25" s="5"/>
      <c r="N25" s="5"/>
      <c r="O25" s="5"/>
      <c r="P25" s="5"/>
      <c r="Q25" s="11">
        <f>SUM(Q3:Q24)*(Q26/100)</f>
        <v>101490</v>
      </c>
      <c r="R25" s="11">
        <f>SUM(R3:R24)*(R26/100)</f>
        <v>97716</v>
      </c>
      <c r="S25" s="5">
        <v>102</v>
      </c>
      <c r="T25" s="11">
        <f>SUM(T3:T24)*(T26/100)</f>
        <v>101490</v>
      </c>
      <c r="U25" s="11">
        <f>SUM(U3:U24)*(U26/100)</f>
        <v>97716</v>
      </c>
      <c r="V25" s="5">
        <v>102</v>
      </c>
      <c r="W25" s="11">
        <f>SUM(W3:W24)*(W26/100)</f>
        <v>101490</v>
      </c>
      <c r="X25" s="11">
        <f>SUM(X3:X24)*(X26/100)</f>
        <v>97716</v>
      </c>
      <c r="Y25" s="5">
        <v>102</v>
      </c>
      <c r="Z25" s="11">
        <f>SUM(Z3:Z24)*(Z26/100)</f>
        <v>98505</v>
      </c>
      <c r="AA25" s="11">
        <f>SUM(AA3:AA24)*(AA26/100)</f>
        <v>94842</v>
      </c>
      <c r="AB25" s="5">
        <v>99</v>
      </c>
      <c r="AC25" s="11">
        <f>SUM(AC3:AC24)*(AC26/100)</f>
        <v>98505</v>
      </c>
      <c r="AD25" s="11">
        <f>SUM(AD3:AD24)*(AD26/100)</f>
        <v>94842</v>
      </c>
      <c r="AE25" s="5">
        <v>99</v>
      </c>
      <c r="AF25" s="11">
        <f>SUM(AF3:AF24)*(AF26/100)</f>
        <v>98505</v>
      </c>
      <c r="AG25" s="11">
        <f>SUM(AG3:AG24)*(AG26/100)</f>
        <v>94842</v>
      </c>
      <c r="AH25" s="5">
        <v>99</v>
      </c>
      <c r="AI25" s="11">
        <f>SUM(AI3:AI24)*(AI26/100)</f>
        <v>98505</v>
      </c>
      <c r="AJ25" s="11">
        <f>SUM(AJ3:AJ24)*(AJ26/100)</f>
        <v>94842</v>
      </c>
      <c r="AK25" s="5">
        <v>99</v>
      </c>
      <c r="AL25" s="11">
        <f>SUM(AL3:AL24)*(AL26/100)</f>
        <v>98505</v>
      </c>
      <c r="AM25" s="11">
        <f>SUM(AM3:AM24)*(AM26/100)</f>
        <v>94842</v>
      </c>
      <c r="AN25" s="5">
        <v>99</v>
      </c>
      <c r="AO25" s="11">
        <f>SUM(AO3:AO24)*(AO26/100)</f>
        <v>98505</v>
      </c>
      <c r="AP25" s="11">
        <f>SUM(AP3:AP24)*(AP26/100)</f>
        <v>94842</v>
      </c>
      <c r="AQ25" s="5">
        <v>99</v>
      </c>
      <c r="AR25" s="11">
        <f>SUM(AR3:AR24)*(AR26/100)</f>
        <v>98505</v>
      </c>
      <c r="AS25" s="11">
        <f>SUM(AS3:AS24)*(AS26/100)</f>
        <v>94842</v>
      </c>
      <c r="AT25" s="5">
        <v>99</v>
      </c>
      <c r="AU25" s="11">
        <f>SUM(AU3:AU24)*(AU26/100)</f>
        <v>98505</v>
      </c>
      <c r="AV25" s="11">
        <f>SUM(AV3:AV24)*(AV26/100)</f>
        <v>94842</v>
      </c>
      <c r="AW25" s="5">
        <v>99</v>
      </c>
      <c r="AX25" s="11">
        <f>SUM(AX3:AX24)*(AX26/100)</f>
        <v>98505</v>
      </c>
      <c r="AY25" s="11">
        <f>SUM(AY3:AY24)*(AY26/100)</f>
        <v>94842</v>
      </c>
      <c r="AZ25" s="5">
        <v>99</v>
      </c>
      <c r="BA25" s="5">
        <v>0</v>
      </c>
      <c r="BB25" s="11">
        <f>SUM(Q25,T25,W25,Z25,AC25,AF25,AI25,AL25,AO25,AR25,AU25,AX25)</f>
        <v>1191015</v>
      </c>
      <c r="BC25" s="11">
        <f t="shared" ref="BC25" si="25">SUM(R25,U25,X25,AA25,AD25,AG25,AJ25,AM25,AP25,AS25,AV25,AY25)</f>
        <v>1146726</v>
      </c>
      <c r="BD25" s="5">
        <v>99.8</v>
      </c>
    </row>
    <row r="26" spans="1:56" s="6" customFormat="1">
      <c r="C26" s="8"/>
      <c r="D26" s="8"/>
      <c r="E26" s="8"/>
      <c r="F26" s="8"/>
      <c r="G26" s="8"/>
      <c r="H26" s="8"/>
      <c r="I26" s="8"/>
      <c r="J26" s="8" t="s">
        <v>125</v>
      </c>
      <c r="K26" s="8"/>
      <c r="L26" s="8"/>
      <c r="M26" s="8"/>
      <c r="N26" s="8"/>
      <c r="O26" s="8"/>
      <c r="P26" s="8"/>
      <c r="Q26" s="8">
        <v>99.5</v>
      </c>
      <c r="R26" s="8">
        <v>95.8</v>
      </c>
      <c r="S26" s="8">
        <v>0</v>
      </c>
      <c r="T26" s="8">
        <v>99.5</v>
      </c>
      <c r="U26" s="8">
        <v>95.8</v>
      </c>
      <c r="V26" s="8">
        <v>0</v>
      </c>
      <c r="W26" s="8">
        <v>99.5</v>
      </c>
      <c r="X26" s="8">
        <v>95.8</v>
      </c>
      <c r="Y26" s="8">
        <v>0</v>
      </c>
      <c r="Z26" s="8">
        <v>99.5</v>
      </c>
      <c r="AA26" s="8">
        <v>95.8</v>
      </c>
      <c r="AB26" s="8">
        <v>0</v>
      </c>
      <c r="AC26" s="8">
        <v>99.5</v>
      </c>
      <c r="AD26" s="8">
        <v>95.8</v>
      </c>
      <c r="AE26" s="8">
        <v>0</v>
      </c>
      <c r="AF26" s="8">
        <v>99.5</v>
      </c>
      <c r="AG26" s="8">
        <v>95.8</v>
      </c>
      <c r="AH26" s="8">
        <v>0</v>
      </c>
      <c r="AI26" s="8">
        <v>99.5</v>
      </c>
      <c r="AJ26" s="8">
        <v>95.8</v>
      </c>
      <c r="AK26" s="8">
        <v>0</v>
      </c>
      <c r="AL26" s="8">
        <v>99.5</v>
      </c>
      <c r="AM26" s="8">
        <v>95.8</v>
      </c>
      <c r="AN26" s="8">
        <v>0</v>
      </c>
      <c r="AO26" s="8">
        <v>99.5</v>
      </c>
      <c r="AP26" s="8">
        <v>95.8</v>
      </c>
      <c r="AQ26" s="8">
        <v>0</v>
      </c>
      <c r="AR26" s="8">
        <v>99.5</v>
      </c>
      <c r="AS26" s="8">
        <v>95.8</v>
      </c>
      <c r="AT26" s="8">
        <v>0</v>
      </c>
      <c r="AU26" s="8">
        <v>99.5</v>
      </c>
      <c r="AV26" s="8">
        <v>95.8</v>
      </c>
      <c r="AW26" s="8">
        <v>0</v>
      </c>
      <c r="AX26" s="8">
        <v>99.5</v>
      </c>
      <c r="AY26" s="8">
        <v>95.8</v>
      </c>
      <c r="AZ26" s="8">
        <v>0</v>
      </c>
      <c r="BA26" s="8">
        <v>0</v>
      </c>
      <c r="BB26" s="8">
        <v>0</v>
      </c>
      <c r="BC26" s="8">
        <v>0</v>
      </c>
      <c r="BD26" s="8">
        <v>0</v>
      </c>
    </row>
    <row r="27" spans="1:56" s="4" customFormat="1">
      <c r="C27" s="9"/>
      <c r="D27" s="9"/>
      <c r="E27" s="9"/>
      <c r="F27" s="9"/>
      <c r="G27" s="9"/>
      <c r="H27" s="9"/>
      <c r="I27" s="9"/>
      <c r="J27" s="9" t="s">
        <v>126</v>
      </c>
      <c r="K27" s="9"/>
      <c r="L27" s="9"/>
      <c r="M27" s="9"/>
      <c r="N27" s="9"/>
      <c r="O27" s="9"/>
      <c r="P27" s="9"/>
      <c r="Q27" s="9">
        <v>100</v>
      </c>
      <c r="R27" s="9">
        <v>100</v>
      </c>
      <c r="S27" s="9">
        <v>0</v>
      </c>
      <c r="T27" s="9">
        <v>100</v>
      </c>
      <c r="U27" s="9">
        <v>100</v>
      </c>
      <c r="V27" s="9">
        <v>0</v>
      </c>
      <c r="W27" s="9">
        <v>100</v>
      </c>
      <c r="X27" s="9">
        <v>100</v>
      </c>
      <c r="Y27" s="9">
        <v>0</v>
      </c>
      <c r="Z27" s="9">
        <v>100</v>
      </c>
      <c r="AA27" s="9">
        <v>100</v>
      </c>
      <c r="AB27" s="9">
        <v>0</v>
      </c>
      <c r="AC27" s="9">
        <v>100</v>
      </c>
      <c r="AD27" s="9">
        <v>100</v>
      </c>
      <c r="AE27" s="9">
        <v>0</v>
      </c>
      <c r="AF27" s="9">
        <v>100</v>
      </c>
      <c r="AG27" s="9">
        <v>100</v>
      </c>
      <c r="AH27" s="9">
        <v>0</v>
      </c>
      <c r="AI27" s="9">
        <v>100</v>
      </c>
      <c r="AJ27" s="9">
        <v>100</v>
      </c>
      <c r="AK27" s="9">
        <v>0</v>
      </c>
      <c r="AL27" s="9">
        <v>100</v>
      </c>
      <c r="AM27" s="9">
        <v>100</v>
      </c>
      <c r="AN27" s="9">
        <v>0</v>
      </c>
      <c r="AO27" s="9">
        <v>100</v>
      </c>
      <c r="AP27" s="9">
        <v>100</v>
      </c>
      <c r="AQ27" s="9">
        <v>0</v>
      </c>
      <c r="AR27" s="9">
        <v>100</v>
      </c>
      <c r="AS27" s="9">
        <v>100</v>
      </c>
      <c r="AT27" s="9">
        <v>0</v>
      </c>
      <c r="AU27" s="9">
        <v>100</v>
      </c>
      <c r="AV27" s="9">
        <v>100</v>
      </c>
      <c r="AW27" s="9">
        <v>0</v>
      </c>
      <c r="AX27" s="9">
        <v>100</v>
      </c>
      <c r="AY27" s="9">
        <v>100</v>
      </c>
      <c r="AZ27" s="9">
        <v>0</v>
      </c>
      <c r="BA27" s="9">
        <v>0</v>
      </c>
      <c r="BB27" s="9">
        <v>0</v>
      </c>
      <c r="BC27" s="9">
        <v>0</v>
      </c>
      <c r="BD27" s="9">
        <v>0</v>
      </c>
    </row>
  </sheetData>
  <mergeCells count="1">
    <mergeCell ref="C1:BE1"/>
  </mergeCells>
  <phoneticPr fontId="25" type="noConversion"/>
  <pageMargins left="0.75" right="0.75" top="1" bottom="1" header="0.5" footer="0.5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582244-9122-9C4F-BB6C-44C158C2D732}">
  <sheetPr codeName="Sheet4"/>
  <dimension ref="A1:BC33"/>
  <sheetViews>
    <sheetView showGridLines="0" zoomScale="241" workbookViewId="0">
      <selection activeCell="E2" sqref="E2"/>
    </sheetView>
  </sheetViews>
  <sheetFormatPr defaultColWidth="8.83203125" defaultRowHeight="14"/>
  <cols>
    <col min="1" max="1" width="5.1640625" bestFit="1" customWidth="1"/>
    <col min="2" max="2" width="6.83203125" bestFit="1" customWidth="1"/>
    <col min="3" max="3" width="5.1640625" bestFit="1" customWidth="1"/>
    <col min="4" max="4" width="15.6640625" bestFit="1" customWidth="1"/>
    <col min="5" max="5" width="13.5" bestFit="1" customWidth="1"/>
    <col min="6" max="7" width="17" bestFit="1" customWidth="1"/>
    <col min="8" max="8" width="10.83203125" bestFit="1" customWidth="1"/>
    <col min="9" max="9" width="17" bestFit="1" customWidth="1"/>
    <col min="10" max="10" width="12.5" bestFit="1" customWidth="1"/>
    <col min="11" max="11" width="11.5" bestFit="1" customWidth="1"/>
    <col min="12" max="12" width="10.6640625" bestFit="1" customWidth="1"/>
    <col min="13" max="13" width="4" bestFit="1" customWidth="1"/>
    <col min="14" max="14" width="9.33203125" bestFit="1" customWidth="1"/>
    <col min="15" max="15" width="12.1640625" bestFit="1" customWidth="1"/>
    <col min="16" max="16" width="9.83203125" bestFit="1" customWidth="1"/>
    <col min="17" max="17" width="6.5" bestFit="1" customWidth="1"/>
    <col min="18" max="19" width="9.83203125" bestFit="1" customWidth="1"/>
    <col min="20" max="20" width="6.5" bestFit="1" customWidth="1"/>
    <col min="21" max="22" width="9.83203125" bestFit="1" customWidth="1"/>
    <col min="23" max="23" width="6.5" bestFit="1" customWidth="1"/>
    <col min="24" max="25" width="9.83203125" bestFit="1" customWidth="1"/>
    <col min="26" max="26" width="7.33203125" bestFit="1" customWidth="1"/>
    <col min="27" max="28" width="9.83203125" bestFit="1" customWidth="1"/>
    <col min="29" max="29" width="7.33203125" bestFit="1" customWidth="1"/>
    <col min="30" max="31" width="9.83203125" bestFit="1" customWidth="1"/>
    <col min="32" max="32" width="7.33203125" bestFit="1" customWidth="1"/>
    <col min="33" max="34" width="9.83203125" bestFit="1" customWidth="1"/>
    <col min="35" max="35" width="6.33203125" bestFit="1" customWidth="1"/>
    <col min="36" max="37" width="9.83203125" bestFit="1" customWidth="1"/>
    <col min="38" max="38" width="6.33203125" bestFit="1" customWidth="1"/>
    <col min="39" max="40" width="9.83203125" bestFit="1" customWidth="1"/>
    <col min="41" max="41" width="6.33203125" bestFit="1" customWidth="1"/>
    <col min="42" max="43" width="9.83203125" bestFit="1" customWidth="1"/>
    <col min="44" max="44" width="6.33203125" bestFit="1" customWidth="1"/>
    <col min="45" max="46" width="9.83203125" bestFit="1" customWidth="1"/>
    <col min="47" max="47" width="6.33203125" bestFit="1" customWidth="1"/>
    <col min="48" max="49" width="9.83203125" bestFit="1" customWidth="1"/>
    <col min="50" max="50" width="6.33203125" bestFit="1" customWidth="1"/>
    <col min="51" max="51" width="9.33203125" bestFit="1" customWidth="1"/>
    <col min="52" max="53" width="13.5" bestFit="1" customWidth="1"/>
    <col min="54" max="54" width="9.5" bestFit="1" customWidth="1"/>
  </cols>
  <sheetData>
    <row r="1" spans="1:55" s="1" customFormat="1">
      <c r="A1" s="29" t="s">
        <v>130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N1" s="29"/>
      <c r="AO1" s="29"/>
      <c r="AP1" s="29"/>
      <c r="AQ1" s="29"/>
      <c r="AR1" s="29"/>
      <c r="AS1" s="29"/>
      <c r="AT1" s="29"/>
      <c r="AU1" s="29"/>
      <c r="AV1" s="29"/>
      <c r="AW1" s="29"/>
      <c r="AX1" s="29"/>
      <c r="AY1" s="29"/>
      <c r="AZ1" s="29"/>
      <c r="BA1" s="29"/>
      <c r="BB1" s="29"/>
      <c r="BC1" s="29"/>
    </row>
    <row r="2" spans="1:55" s="1" customFormat="1">
      <c r="A2" s="2" t="s">
        <v>1</v>
      </c>
      <c r="B2" s="2" t="s">
        <v>2</v>
      </c>
      <c r="C2" s="2" t="s">
        <v>3</v>
      </c>
      <c r="D2" s="2" t="s">
        <v>4</v>
      </c>
      <c r="E2" s="2" t="s">
        <v>5</v>
      </c>
      <c r="F2" s="2" t="s">
        <v>6</v>
      </c>
      <c r="G2" s="2" t="s">
        <v>7</v>
      </c>
      <c r="H2" s="2" t="s">
        <v>8</v>
      </c>
      <c r="I2" s="2" t="s">
        <v>9</v>
      </c>
      <c r="J2" s="2" t="s">
        <v>10</v>
      </c>
      <c r="K2" s="2" t="s">
        <v>11</v>
      </c>
      <c r="L2" s="2" t="s">
        <v>12</v>
      </c>
      <c r="M2" s="2" t="s">
        <v>13</v>
      </c>
      <c r="N2" s="2" t="s">
        <v>14</v>
      </c>
      <c r="O2" s="3" t="s">
        <v>15</v>
      </c>
      <c r="P2" s="3" t="s">
        <v>16</v>
      </c>
      <c r="Q2" s="3" t="s">
        <v>17</v>
      </c>
      <c r="R2" s="3" t="s">
        <v>18</v>
      </c>
      <c r="S2" s="3" t="s">
        <v>19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24</v>
      </c>
      <c r="Y2" s="3" t="s">
        <v>25</v>
      </c>
      <c r="Z2" s="3" t="s">
        <v>26</v>
      </c>
      <c r="AA2" s="3" t="s">
        <v>27</v>
      </c>
      <c r="AB2" s="3" t="s">
        <v>28</v>
      </c>
      <c r="AC2" s="3" t="s">
        <v>29</v>
      </c>
      <c r="AD2" s="3" t="s">
        <v>30</v>
      </c>
      <c r="AE2" s="3" t="s">
        <v>31</v>
      </c>
      <c r="AF2" s="3" t="s">
        <v>32</v>
      </c>
      <c r="AG2" s="3" t="s">
        <v>33</v>
      </c>
      <c r="AH2" s="3" t="s">
        <v>34</v>
      </c>
      <c r="AI2" s="3" t="s">
        <v>35</v>
      </c>
      <c r="AJ2" s="3" t="s">
        <v>36</v>
      </c>
      <c r="AK2" s="3" t="s">
        <v>37</v>
      </c>
      <c r="AL2" s="3" t="s">
        <v>38</v>
      </c>
      <c r="AM2" s="3" t="s">
        <v>39</v>
      </c>
      <c r="AN2" s="3" t="s">
        <v>40</v>
      </c>
      <c r="AO2" s="3" t="s">
        <v>41</v>
      </c>
      <c r="AP2" s="3" t="s">
        <v>42</v>
      </c>
      <c r="AQ2" s="3" t="s">
        <v>43</v>
      </c>
      <c r="AR2" s="3" t="s">
        <v>44</v>
      </c>
      <c r="AS2" s="3" t="s">
        <v>45</v>
      </c>
      <c r="AT2" s="3" t="s">
        <v>46</v>
      </c>
      <c r="AU2" s="3" t="s">
        <v>47</v>
      </c>
      <c r="AV2" s="3" t="s">
        <v>48</v>
      </c>
      <c r="AW2" s="3" t="s">
        <v>49</v>
      </c>
      <c r="AX2" s="3" t="s">
        <v>50</v>
      </c>
      <c r="AY2" s="3" t="s">
        <v>51</v>
      </c>
      <c r="AZ2" s="3" t="s">
        <v>52</v>
      </c>
      <c r="BA2" s="3" t="s">
        <v>53</v>
      </c>
      <c r="BB2" s="3" t="s">
        <v>54</v>
      </c>
    </row>
    <row r="3" spans="1:55" s="4" customFormat="1">
      <c r="A3" s="5" t="s">
        <v>55</v>
      </c>
      <c r="B3" s="5" t="s">
        <v>56</v>
      </c>
      <c r="C3" s="5" t="s">
        <v>57</v>
      </c>
      <c r="D3" s="5" t="s">
        <v>58</v>
      </c>
      <c r="E3" s="5"/>
      <c r="F3" s="5" t="s">
        <v>59</v>
      </c>
      <c r="G3" s="5" t="s">
        <v>59</v>
      </c>
      <c r="H3" s="5" t="s">
        <v>60</v>
      </c>
      <c r="I3" s="5" t="s">
        <v>59</v>
      </c>
      <c r="J3" s="5" t="s">
        <v>61</v>
      </c>
      <c r="K3" s="5" t="s">
        <v>61</v>
      </c>
      <c r="L3" s="5" t="s">
        <v>61</v>
      </c>
      <c r="M3" s="5"/>
      <c r="N3" s="5" t="s">
        <v>62</v>
      </c>
      <c r="O3" s="11">
        <f>Q3*1000</f>
        <v>2000</v>
      </c>
      <c r="P3" s="11">
        <f>Q3*1000</f>
        <v>2000</v>
      </c>
      <c r="Q3" s="5">
        <v>2</v>
      </c>
      <c r="R3" s="11">
        <f>T3*1000</f>
        <v>2000</v>
      </c>
      <c r="S3" s="11">
        <f>T3*1000</f>
        <v>2000</v>
      </c>
      <c r="T3" s="5">
        <v>2</v>
      </c>
      <c r="U3" s="11">
        <f>W3*1000</f>
        <v>2000</v>
      </c>
      <c r="V3" s="11">
        <f>W3*1000</f>
        <v>2000</v>
      </c>
      <c r="W3" s="5">
        <v>2</v>
      </c>
      <c r="X3" s="11">
        <f>Z3*1000</f>
        <v>2000</v>
      </c>
      <c r="Y3" s="11">
        <f>Z3*1000</f>
        <v>2000</v>
      </c>
      <c r="Z3" s="5">
        <v>2</v>
      </c>
      <c r="AA3" s="11">
        <f>AC3*1000</f>
        <v>2000</v>
      </c>
      <c r="AB3" s="11">
        <f>AC3*1000</f>
        <v>2000</v>
      </c>
      <c r="AC3" s="5">
        <v>2</v>
      </c>
      <c r="AD3" s="11">
        <f>AF3*1000</f>
        <v>2000</v>
      </c>
      <c r="AE3" s="11">
        <f>AF3*1000</f>
        <v>2000</v>
      </c>
      <c r="AF3" s="5">
        <v>2</v>
      </c>
      <c r="AG3" s="11">
        <f>AI3*1000</f>
        <v>2000</v>
      </c>
      <c r="AH3" s="11">
        <f>AI3*1000</f>
        <v>2000</v>
      </c>
      <c r="AI3" s="5">
        <v>2</v>
      </c>
      <c r="AJ3" s="11">
        <f>AL3*1000</f>
        <v>2000</v>
      </c>
      <c r="AK3" s="11">
        <f>AL3*1000</f>
        <v>2000</v>
      </c>
      <c r="AL3" s="5">
        <v>2</v>
      </c>
      <c r="AM3" s="11">
        <f>AO3*1000</f>
        <v>2000</v>
      </c>
      <c r="AN3" s="11">
        <f>AO3*1000</f>
        <v>2000</v>
      </c>
      <c r="AO3" s="5">
        <v>2</v>
      </c>
      <c r="AP3" s="11">
        <f>AR3*1000</f>
        <v>2000</v>
      </c>
      <c r="AQ3" s="11">
        <f>AR3*1000</f>
        <v>2000</v>
      </c>
      <c r="AR3" s="5">
        <v>2</v>
      </c>
      <c r="AS3" s="11">
        <f>AU3*1000</f>
        <v>2000</v>
      </c>
      <c r="AT3" s="11">
        <f>AU3*1000</f>
        <v>2000</v>
      </c>
      <c r="AU3" s="5">
        <v>2</v>
      </c>
      <c r="AV3" s="11">
        <f>AX3*1000</f>
        <v>2000</v>
      </c>
      <c r="AW3" s="11">
        <f>AX3*1000</f>
        <v>2000</v>
      </c>
      <c r="AX3" s="5">
        <v>2</v>
      </c>
      <c r="AY3" s="5">
        <v>0</v>
      </c>
      <c r="AZ3" s="11">
        <f>SUM(O3,R3,U3,X3,AA3,AD3,AG3,AJ3,AM3,AP3,AS3,AV3)</f>
        <v>24000</v>
      </c>
      <c r="BA3" s="11">
        <f>SUM(P3,S3,V3,Y3,AB3,AE3,AH3,AK3,AN3,AQ3,AT3,AW3)</f>
        <v>24000</v>
      </c>
      <c r="BB3" s="5">
        <v>2</v>
      </c>
    </row>
    <row r="4" spans="1:55" s="6" customFormat="1">
      <c r="A4" s="7" t="s">
        <v>55</v>
      </c>
      <c r="B4" s="7" t="s">
        <v>56</v>
      </c>
      <c r="C4" s="7" t="s">
        <v>70</v>
      </c>
      <c r="D4" s="7" t="s">
        <v>71</v>
      </c>
      <c r="E4" s="7"/>
      <c r="F4" s="7">
        <v>375953</v>
      </c>
      <c r="G4" s="7">
        <v>5841813202</v>
      </c>
      <c r="H4" s="7" t="s">
        <v>60</v>
      </c>
      <c r="I4" s="7" t="s">
        <v>72</v>
      </c>
      <c r="J4" s="7" t="s">
        <v>73</v>
      </c>
      <c r="K4" s="7" t="s">
        <v>67</v>
      </c>
      <c r="L4" s="7" t="s">
        <v>74</v>
      </c>
      <c r="M4" s="7"/>
      <c r="N4" s="7" t="s">
        <v>69</v>
      </c>
      <c r="O4" s="12">
        <f t="shared" ref="O4:O21" si="0">Q4*1000</f>
        <v>4000</v>
      </c>
      <c r="P4" s="12">
        <f t="shared" ref="P4:P21" si="1">Q4*1000</f>
        <v>4000</v>
      </c>
      <c r="Q4" s="7">
        <v>4</v>
      </c>
      <c r="R4" s="12">
        <f t="shared" ref="R4:R21" si="2">T4*1000</f>
        <v>4000</v>
      </c>
      <c r="S4" s="12">
        <f t="shared" ref="S4:S21" si="3">T4*1000</f>
        <v>4000</v>
      </c>
      <c r="T4" s="7">
        <v>4</v>
      </c>
      <c r="U4" s="12">
        <f t="shared" ref="U4:U21" si="4">W4*1000</f>
        <v>4000</v>
      </c>
      <c r="V4" s="12">
        <f t="shared" ref="V4:V21" si="5">W4*1000</f>
        <v>4000</v>
      </c>
      <c r="W4" s="7">
        <v>4</v>
      </c>
      <c r="X4" s="12">
        <f t="shared" ref="X4:X21" si="6">Z4*1000</f>
        <v>4000</v>
      </c>
      <c r="Y4" s="12">
        <f t="shared" ref="Y4:Y21" si="7">Z4*1000</f>
        <v>4000</v>
      </c>
      <c r="Z4" s="7">
        <v>4</v>
      </c>
      <c r="AA4" s="12">
        <f t="shared" ref="AA4:AA21" si="8">AC4*1000</f>
        <v>4000</v>
      </c>
      <c r="AB4" s="12">
        <f t="shared" ref="AB4:AB21" si="9">AC4*1000</f>
        <v>4000</v>
      </c>
      <c r="AC4" s="7">
        <v>4</v>
      </c>
      <c r="AD4" s="12">
        <f t="shared" ref="AD4:AD21" si="10">AF4*1000</f>
        <v>4000</v>
      </c>
      <c r="AE4" s="12">
        <f t="shared" ref="AE4:AE21" si="11">AF4*1000</f>
        <v>4000</v>
      </c>
      <c r="AF4" s="7">
        <v>4</v>
      </c>
      <c r="AG4" s="12">
        <f t="shared" ref="AG4:AG21" si="12">AI4*1000</f>
        <v>4000</v>
      </c>
      <c r="AH4" s="12">
        <f t="shared" ref="AH4:AH21" si="13">AI4*1000</f>
        <v>4000</v>
      </c>
      <c r="AI4" s="7">
        <v>4</v>
      </c>
      <c r="AJ4" s="12">
        <f t="shared" ref="AJ4:AJ21" si="14">AL4*1000</f>
        <v>4000</v>
      </c>
      <c r="AK4" s="12">
        <f t="shared" ref="AK4:AK21" si="15">AL4*1000</f>
        <v>4000</v>
      </c>
      <c r="AL4" s="7">
        <v>4</v>
      </c>
      <c r="AM4" s="12">
        <f t="shared" ref="AM4:AM21" si="16">AO4*1000</f>
        <v>4000</v>
      </c>
      <c r="AN4" s="12">
        <f t="shared" ref="AN4:AN21" si="17">AO4*1000</f>
        <v>4000</v>
      </c>
      <c r="AO4" s="7">
        <v>4</v>
      </c>
      <c r="AP4" s="12">
        <f t="shared" ref="AP4:AP21" si="18">AR4*1000</f>
        <v>4000</v>
      </c>
      <c r="AQ4" s="12">
        <f t="shared" ref="AQ4:AQ21" si="19">AR4*1000</f>
        <v>4000</v>
      </c>
      <c r="AR4" s="7">
        <v>4</v>
      </c>
      <c r="AS4" s="12">
        <f t="shared" ref="AS4:AS21" si="20">AU4*1000</f>
        <v>4000</v>
      </c>
      <c r="AT4" s="12">
        <f t="shared" ref="AT4:AT21" si="21">AU4*1000</f>
        <v>4000</v>
      </c>
      <c r="AU4" s="7">
        <v>4</v>
      </c>
      <c r="AV4" s="12">
        <f t="shared" ref="AV4:AV21" si="22">AX4*1000</f>
        <v>4000</v>
      </c>
      <c r="AW4" s="12">
        <f t="shared" ref="AW4:AW21" si="23">AX4*1000</f>
        <v>4000</v>
      </c>
      <c r="AX4" s="7">
        <v>4</v>
      </c>
      <c r="AY4" s="7">
        <v>0</v>
      </c>
      <c r="AZ4" s="12">
        <f t="shared" ref="AZ4:BA21" si="24">SUM(O4,R4,U4,X4,AA4,AD4,AG4,AJ4,AM4,AP4,AS4,AV4)</f>
        <v>48000</v>
      </c>
      <c r="BA4" s="12">
        <f t="shared" si="24"/>
        <v>48000</v>
      </c>
      <c r="BB4" s="7">
        <v>4</v>
      </c>
    </row>
    <row r="5" spans="1:55" s="4" customFormat="1">
      <c r="A5" s="5" t="s">
        <v>55</v>
      </c>
      <c r="B5" s="5" t="s">
        <v>56</v>
      </c>
      <c r="C5" s="5" t="s">
        <v>75</v>
      </c>
      <c r="D5" s="5" t="s">
        <v>76</v>
      </c>
      <c r="E5" s="5"/>
      <c r="F5" s="5" t="s">
        <v>77</v>
      </c>
      <c r="G5" s="5" t="s">
        <v>77</v>
      </c>
      <c r="H5" s="5" t="s">
        <v>60</v>
      </c>
      <c r="I5" s="5" t="s">
        <v>77</v>
      </c>
      <c r="J5" s="5" t="s">
        <v>78</v>
      </c>
      <c r="K5" s="5" t="s">
        <v>79</v>
      </c>
      <c r="L5" s="5" t="s">
        <v>79</v>
      </c>
      <c r="M5" s="5"/>
      <c r="N5" s="5" t="s">
        <v>69</v>
      </c>
      <c r="O5" s="11">
        <f t="shared" si="0"/>
        <v>3000</v>
      </c>
      <c r="P5" s="11">
        <f t="shared" si="1"/>
        <v>3000</v>
      </c>
      <c r="Q5" s="5">
        <v>3</v>
      </c>
      <c r="R5" s="11">
        <f t="shared" si="2"/>
        <v>3000</v>
      </c>
      <c r="S5" s="11">
        <f t="shared" si="3"/>
        <v>3000</v>
      </c>
      <c r="T5" s="5">
        <v>3</v>
      </c>
      <c r="U5" s="11">
        <f t="shared" si="4"/>
        <v>3000</v>
      </c>
      <c r="V5" s="11">
        <f t="shared" si="5"/>
        <v>3000</v>
      </c>
      <c r="W5" s="5">
        <v>3</v>
      </c>
      <c r="X5" s="11">
        <f t="shared" si="6"/>
        <v>3000</v>
      </c>
      <c r="Y5" s="11">
        <f t="shared" si="7"/>
        <v>3000</v>
      </c>
      <c r="Z5" s="5">
        <v>3</v>
      </c>
      <c r="AA5" s="11">
        <f t="shared" si="8"/>
        <v>3000</v>
      </c>
      <c r="AB5" s="11">
        <f t="shared" si="9"/>
        <v>3000</v>
      </c>
      <c r="AC5" s="5">
        <v>3</v>
      </c>
      <c r="AD5" s="11">
        <f t="shared" si="10"/>
        <v>3000</v>
      </c>
      <c r="AE5" s="11">
        <f t="shared" si="11"/>
        <v>3000</v>
      </c>
      <c r="AF5" s="5">
        <v>3</v>
      </c>
      <c r="AG5" s="11">
        <f t="shared" si="12"/>
        <v>3000</v>
      </c>
      <c r="AH5" s="11">
        <f t="shared" si="13"/>
        <v>3000</v>
      </c>
      <c r="AI5" s="5">
        <v>3</v>
      </c>
      <c r="AJ5" s="11">
        <f t="shared" si="14"/>
        <v>3000</v>
      </c>
      <c r="AK5" s="11">
        <f t="shared" si="15"/>
        <v>3000</v>
      </c>
      <c r="AL5" s="5">
        <v>3</v>
      </c>
      <c r="AM5" s="11">
        <f t="shared" si="16"/>
        <v>3000</v>
      </c>
      <c r="AN5" s="11">
        <f t="shared" si="17"/>
        <v>3000</v>
      </c>
      <c r="AO5" s="5">
        <v>3</v>
      </c>
      <c r="AP5" s="11">
        <f t="shared" si="18"/>
        <v>3000</v>
      </c>
      <c r="AQ5" s="11">
        <f t="shared" si="19"/>
        <v>3000</v>
      </c>
      <c r="AR5" s="5">
        <v>3</v>
      </c>
      <c r="AS5" s="11">
        <f t="shared" si="20"/>
        <v>3000</v>
      </c>
      <c r="AT5" s="11">
        <f t="shared" si="21"/>
        <v>3000</v>
      </c>
      <c r="AU5" s="5">
        <v>3</v>
      </c>
      <c r="AV5" s="11">
        <f t="shared" si="22"/>
        <v>3000</v>
      </c>
      <c r="AW5" s="11">
        <f t="shared" si="23"/>
        <v>3000</v>
      </c>
      <c r="AX5" s="5">
        <v>3</v>
      </c>
      <c r="AY5" s="5">
        <v>0</v>
      </c>
      <c r="AZ5" s="11">
        <f t="shared" si="24"/>
        <v>36000</v>
      </c>
      <c r="BA5" s="11">
        <f t="shared" si="24"/>
        <v>36000</v>
      </c>
      <c r="BB5" s="5">
        <v>3</v>
      </c>
    </row>
    <row r="6" spans="1:55" s="6" customFormat="1">
      <c r="A6" s="7" t="s">
        <v>55</v>
      </c>
      <c r="B6" s="7" t="s">
        <v>56</v>
      </c>
      <c r="C6" s="7" t="s">
        <v>80</v>
      </c>
      <c r="D6" s="7" t="s">
        <v>81</v>
      </c>
      <c r="E6" s="7"/>
      <c r="F6" s="7">
        <v>370316</v>
      </c>
      <c r="G6" s="7">
        <v>5841813202</v>
      </c>
      <c r="H6" s="7" t="s">
        <v>60</v>
      </c>
      <c r="I6" s="7" t="s">
        <v>82</v>
      </c>
      <c r="J6" s="7" t="s">
        <v>73</v>
      </c>
      <c r="K6" s="7" t="s">
        <v>67</v>
      </c>
      <c r="L6" s="7" t="s">
        <v>74</v>
      </c>
      <c r="M6" s="7"/>
      <c r="N6" s="7" t="s">
        <v>69</v>
      </c>
      <c r="O6" s="12">
        <f t="shared" si="0"/>
        <v>4000</v>
      </c>
      <c r="P6" s="12">
        <f t="shared" si="1"/>
        <v>4000</v>
      </c>
      <c r="Q6" s="7">
        <v>4</v>
      </c>
      <c r="R6" s="12">
        <f t="shared" si="2"/>
        <v>4000</v>
      </c>
      <c r="S6" s="12">
        <f t="shared" si="3"/>
        <v>4000</v>
      </c>
      <c r="T6" s="7">
        <v>4</v>
      </c>
      <c r="U6" s="12">
        <f t="shared" si="4"/>
        <v>4000</v>
      </c>
      <c r="V6" s="12">
        <f t="shared" si="5"/>
        <v>4000</v>
      </c>
      <c r="W6" s="7">
        <v>4</v>
      </c>
      <c r="X6" s="12">
        <f t="shared" si="6"/>
        <v>4000</v>
      </c>
      <c r="Y6" s="12">
        <f t="shared" si="7"/>
        <v>4000</v>
      </c>
      <c r="Z6" s="7">
        <v>4</v>
      </c>
      <c r="AA6" s="12">
        <f t="shared" si="8"/>
        <v>4000</v>
      </c>
      <c r="AB6" s="12">
        <f t="shared" si="9"/>
        <v>4000</v>
      </c>
      <c r="AC6" s="7">
        <v>4</v>
      </c>
      <c r="AD6" s="12">
        <f t="shared" si="10"/>
        <v>4000</v>
      </c>
      <c r="AE6" s="12">
        <f t="shared" si="11"/>
        <v>4000</v>
      </c>
      <c r="AF6" s="7">
        <v>4</v>
      </c>
      <c r="AG6" s="12">
        <f t="shared" si="12"/>
        <v>4000</v>
      </c>
      <c r="AH6" s="12">
        <f t="shared" si="13"/>
        <v>4000</v>
      </c>
      <c r="AI6" s="7">
        <v>4</v>
      </c>
      <c r="AJ6" s="12">
        <f t="shared" si="14"/>
        <v>4000</v>
      </c>
      <c r="AK6" s="12">
        <f t="shared" si="15"/>
        <v>4000</v>
      </c>
      <c r="AL6" s="7">
        <v>4</v>
      </c>
      <c r="AM6" s="12">
        <f t="shared" si="16"/>
        <v>4000</v>
      </c>
      <c r="AN6" s="12">
        <f t="shared" si="17"/>
        <v>4000</v>
      </c>
      <c r="AO6" s="7">
        <v>4</v>
      </c>
      <c r="AP6" s="12">
        <f t="shared" si="18"/>
        <v>4000</v>
      </c>
      <c r="AQ6" s="12">
        <f t="shared" si="19"/>
        <v>4000</v>
      </c>
      <c r="AR6" s="7">
        <v>4</v>
      </c>
      <c r="AS6" s="12">
        <f t="shared" si="20"/>
        <v>4000</v>
      </c>
      <c r="AT6" s="12">
        <f t="shared" si="21"/>
        <v>4000</v>
      </c>
      <c r="AU6" s="7">
        <v>4</v>
      </c>
      <c r="AV6" s="12">
        <f t="shared" si="22"/>
        <v>4000</v>
      </c>
      <c r="AW6" s="12">
        <f t="shared" si="23"/>
        <v>4000</v>
      </c>
      <c r="AX6" s="7">
        <v>4</v>
      </c>
      <c r="AY6" s="7">
        <v>0</v>
      </c>
      <c r="AZ6" s="12">
        <f t="shared" si="24"/>
        <v>48000</v>
      </c>
      <c r="BA6" s="12">
        <f t="shared" si="24"/>
        <v>48000</v>
      </c>
      <c r="BB6" s="7">
        <v>4</v>
      </c>
    </row>
    <row r="7" spans="1:55" s="4" customFormat="1">
      <c r="A7" s="5" t="s">
        <v>55</v>
      </c>
      <c r="B7" s="5" t="s">
        <v>56</v>
      </c>
      <c r="C7" s="5" t="s">
        <v>83</v>
      </c>
      <c r="D7" s="5" t="s">
        <v>84</v>
      </c>
      <c r="E7" s="5"/>
      <c r="F7" s="5">
        <v>375725</v>
      </c>
      <c r="G7" s="5">
        <v>5841813202</v>
      </c>
      <c r="H7" s="5" t="s">
        <v>60</v>
      </c>
      <c r="I7" s="5" t="s">
        <v>85</v>
      </c>
      <c r="J7" s="5" t="s">
        <v>73</v>
      </c>
      <c r="K7" s="5" t="s">
        <v>67</v>
      </c>
      <c r="L7" s="5" t="s">
        <v>74</v>
      </c>
      <c r="M7" s="5"/>
      <c r="N7" s="5" t="s">
        <v>69</v>
      </c>
      <c r="O7" s="11">
        <f t="shared" si="0"/>
        <v>5000</v>
      </c>
      <c r="P7" s="11">
        <f t="shared" si="1"/>
        <v>5000</v>
      </c>
      <c r="Q7" s="5">
        <v>5</v>
      </c>
      <c r="R7" s="11">
        <f t="shared" si="2"/>
        <v>5000</v>
      </c>
      <c r="S7" s="11">
        <f t="shared" si="3"/>
        <v>5000</v>
      </c>
      <c r="T7" s="5">
        <v>5</v>
      </c>
      <c r="U7" s="11">
        <f t="shared" si="4"/>
        <v>5000</v>
      </c>
      <c r="V7" s="11">
        <f t="shared" si="5"/>
        <v>5000</v>
      </c>
      <c r="W7" s="5">
        <v>5</v>
      </c>
      <c r="X7" s="11">
        <f t="shared" si="6"/>
        <v>5000</v>
      </c>
      <c r="Y7" s="11">
        <f t="shared" si="7"/>
        <v>5000</v>
      </c>
      <c r="Z7" s="5">
        <v>5</v>
      </c>
      <c r="AA7" s="11">
        <f t="shared" si="8"/>
        <v>5000</v>
      </c>
      <c r="AB7" s="11">
        <f t="shared" si="9"/>
        <v>5000</v>
      </c>
      <c r="AC7" s="5">
        <v>5</v>
      </c>
      <c r="AD7" s="11">
        <f t="shared" si="10"/>
        <v>5000</v>
      </c>
      <c r="AE7" s="11">
        <f t="shared" si="11"/>
        <v>5000</v>
      </c>
      <c r="AF7" s="5">
        <v>5</v>
      </c>
      <c r="AG7" s="11">
        <f t="shared" si="12"/>
        <v>5000</v>
      </c>
      <c r="AH7" s="11">
        <f t="shared" si="13"/>
        <v>5000</v>
      </c>
      <c r="AI7" s="5">
        <v>5</v>
      </c>
      <c r="AJ7" s="11">
        <f t="shared" si="14"/>
        <v>5000</v>
      </c>
      <c r="AK7" s="11">
        <f t="shared" si="15"/>
        <v>5000</v>
      </c>
      <c r="AL7" s="5">
        <v>5</v>
      </c>
      <c r="AM7" s="11">
        <f t="shared" si="16"/>
        <v>5000</v>
      </c>
      <c r="AN7" s="11">
        <f t="shared" si="17"/>
        <v>5000</v>
      </c>
      <c r="AO7" s="5">
        <v>5</v>
      </c>
      <c r="AP7" s="11">
        <f t="shared" si="18"/>
        <v>5000</v>
      </c>
      <c r="AQ7" s="11">
        <f t="shared" si="19"/>
        <v>5000</v>
      </c>
      <c r="AR7" s="5">
        <v>5</v>
      </c>
      <c r="AS7" s="11">
        <f t="shared" si="20"/>
        <v>5000</v>
      </c>
      <c r="AT7" s="11">
        <f t="shared" si="21"/>
        <v>5000</v>
      </c>
      <c r="AU7" s="5">
        <v>5</v>
      </c>
      <c r="AV7" s="11">
        <f t="shared" si="22"/>
        <v>5000</v>
      </c>
      <c r="AW7" s="11">
        <f t="shared" si="23"/>
        <v>5000</v>
      </c>
      <c r="AX7" s="5">
        <v>5</v>
      </c>
      <c r="AY7" s="5">
        <v>0</v>
      </c>
      <c r="AZ7" s="11">
        <f t="shared" si="24"/>
        <v>60000</v>
      </c>
      <c r="BA7" s="11">
        <f t="shared" si="24"/>
        <v>60000</v>
      </c>
      <c r="BB7" s="5">
        <v>5</v>
      </c>
    </row>
    <row r="8" spans="1:55" s="6" customFormat="1">
      <c r="A8" s="7" t="s">
        <v>55</v>
      </c>
      <c r="B8" s="7" t="s">
        <v>56</v>
      </c>
      <c r="C8" s="7" t="s">
        <v>86</v>
      </c>
      <c r="D8" s="7" t="s">
        <v>87</v>
      </c>
      <c r="E8" s="7"/>
      <c r="F8" s="7">
        <v>129915</v>
      </c>
      <c r="G8" s="7">
        <v>5841813202</v>
      </c>
      <c r="H8" s="7" t="s">
        <v>60</v>
      </c>
      <c r="I8" s="7" t="s">
        <v>88</v>
      </c>
      <c r="J8" s="7" t="s">
        <v>73</v>
      </c>
      <c r="K8" s="7" t="s">
        <v>67</v>
      </c>
      <c r="L8" s="7" t="s">
        <v>74</v>
      </c>
      <c r="M8" s="7"/>
      <c r="N8" s="7" t="s">
        <v>69</v>
      </c>
      <c r="O8" s="12">
        <f t="shared" si="0"/>
        <v>5000</v>
      </c>
      <c r="P8" s="12">
        <f t="shared" si="1"/>
        <v>5000</v>
      </c>
      <c r="Q8" s="7">
        <v>5</v>
      </c>
      <c r="R8" s="12">
        <f t="shared" si="2"/>
        <v>5000</v>
      </c>
      <c r="S8" s="12">
        <f t="shared" si="3"/>
        <v>5000</v>
      </c>
      <c r="T8" s="7">
        <v>5</v>
      </c>
      <c r="U8" s="12">
        <f t="shared" si="4"/>
        <v>5000</v>
      </c>
      <c r="V8" s="12">
        <f t="shared" si="5"/>
        <v>5000</v>
      </c>
      <c r="W8" s="7">
        <v>5</v>
      </c>
      <c r="X8" s="12">
        <f t="shared" si="6"/>
        <v>5000</v>
      </c>
      <c r="Y8" s="12">
        <f t="shared" si="7"/>
        <v>5000</v>
      </c>
      <c r="Z8" s="7">
        <v>5</v>
      </c>
      <c r="AA8" s="12">
        <f t="shared" si="8"/>
        <v>5000</v>
      </c>
      <c r="AB8" s="12">
        <f t="shared" si="9"/>
        <v>5000</v>
      </c>
      <c r="AC8" s="7">
        <v>5</v>
      </c>
      <c r="AD8" s="12">
        <f t="shared" si="10"/>
        <v>5000</v>
      </c>
      <c r="AE8" s="12">
        <f t="shared" si="11"/>
        <v>5000</v>
      </c>
      <c r="AF8" s="7">
        <v>5</v>
      </c>
      <c r="AG8" s="12">
        <f t="shared" si="12"/>
        <v>5000</v>
      </c>
      <c r="AH8" s="12">
        <f t="shared" si="13"/>
        <v>5000</v>
      </c>
      <c r="AI8" s="7">
        <v>5</v>
      </c>
      <c r="AJ8" s="12">
        <f t="shared" si="14"/>
        <v>5000</v>
      </c>
      <c r="AK8" s="12">
        <f t="shared" si="15"/>
        <v>5000</v>
      </c>
      <c r="AL8" s="7">
        <v>5</v>
      </c>
      <c r="AM8" s="12">
        <f t="shared" si="16"/>
        <v>5000</v>
      </c>
      <c r="AN8" s="12">
        <f t="shared" si="17"/>
        <v>5000</v>
      </c>
      <c r="AO8" s="7">
        <v>5</v>
      </c>
      <c r="AP8" s="12">
        <f t="shared" si="18"/>
        <v>5000</v>
      </c>
      <c r="AQ8" s="12">
        <f t="shared" si="19"/>
        <v>5000</v>
      </c>
      <c r="AR8" s="7">
        <v>5</v>
      </c>
      <c r="AS8" s="12">
        <f t="shared" si="20"/>
        <v>5000</v>
      </c>
      <c r="AT8" s="12">
        <f t="shared" si="21"/>
        <v>5000</v>
      </c>
      <c r="AU8" s="7">
        <v>5</v>
      </c>
      <c r="AV8" s="12">
        <f t="shared" si="22"/>
        <v>5000</v>
      </c>
      <c r="AW8" s="12">
        <f t="shared" si="23"/>
        <v>5000</v>
      </c>
      <c r="AX8" s="7">
        <v>5</v>
      </c>
      <c r="AY8" s="7">
        <v>0</v>
      </c>
      <c r="AZ8" s="12">
        <f t="shared" si="24"/>
        <v>60000</v>
      </c>
      <c r="BA8" s="12">
        <f t="shared" si="24"/>
        <v>60000</v>
      </c>
      <c r="BB8" s="7">
        <v>5</v>
      </c>
    </row>
    <row r="9" spans="1:55" s="4" customFormat="1">
      <c r="A9" s="5" t="s">
        <v>55</v>
      </c>
      <c r="B9" s="5" t="s">
        <v>56</v>
      </c>
      <c r="C9" s="5" t="s">
        <v>89</v>
      </c>
      <c r="D9" s="5" t="s">
        <v>90</v>
      </c>
      <c r="E9" s="5"/>
      <c r="F9" s="5">
        <v>38617004</v>
      </c>
      <c r="G9" s="5">
        <v>5841813202</v>
      </c>
      <c r="H9" s="5" t="s">
        <v>60</v>
      </c>
      <c r="I9" s="5" t="s">
        <v>91</v>
      </c>
      <c r="J9" s="5" t="s">
        <v>73</v>
      </c>
      <c r="K9" s="5" t="s">
        <v>79</v>
      </c>
      <c r="L9" s="5" t="s">
        <v>74</v>
      </c>
      <c r="M9" s="5"/>
      <c r="N9" s="5" t="s">
        <v>69</v>
      </c>
      <c r="O9" s="11">
        <f t="shared" si="0"/>
        <v>7000</v>
      </c>
      <c r="P9" s="11">
        <f t="shared" si="1"/>
        <v>7000</v>
      </c>
      <c r="Q9" s="5">
        <v>7</v>
      </c>
      <c r="R9" s="11">
        <f t="shared" si="2"/>
        <v>7000</v>
      </c>
      <c r="S9" s="11">
        <f t="shared" si="3"/>
        <v>7000</v>
      </c>
      <c r="T9" s="5">
        <v>7</v>
      </c>
      <c r="U9" s="11">
        <f t="shared" si="4"/>
        <v>7000</v>
      </c>
      <c r="V9" s="11">
        <f t="shared" si="5"/>
        <v>7000</v>
      </c>
      <c r="W9" s="5">
        <v>7</v>
      </c>
      <c r="X9" s="11">
        <f t="shared" si="6"/>
        <v>7000</v>
      </c>
      <c r="Y9" s="11">
        <f t="shared" si="7"/>
        <v>7000</v>
      </c>
      <c r="Z9" s="5">
        <v>7</v>
      </c>
      <c r="AA9" s="11">
        <f t="shared" si="8"/>
        <v>7000</v>
      </c>
      <c r="AB9" s="11">
        <f t="shared" si="9"/>
        <v>7000</v>
      </c>
      <c r="AC9" s="5">
        <v>7</v>
      </c>
      <c r="AD9" s="11">
        <f t="shared" si="10"/>
        <v>7000</v>
      </c>
      <c r="AE9" s="11">
        <f t="shared" si="11"/>
        <v>7000</v>
      </c>
      <c r="AF9" s="5">
        <v>7</v>
      </c>
      <c r="AG9" s="11">
        <f t="shared" si="12"/>
        <v>7000</v>
      </c>
      <c r="AH9" s="11">
        <f t="shared" si="13"/>
        <v>7000</v>
      </c>
      <c r="AI9" s="5">
        <v>7</v>
      </c>
      <c r="AJ9" s="11">
        <f t="shared" si="14"/>
        <v>7000</v>
      </c>
      <c r="AK9" s="11">
        <f t="shared" si="15"/>
        <v>7000</v>
      </c>
      <c r="AL9" s="5">
        <v>7</v>
      </c>
      <c r="AM9" s="11">
        <f t="shared" si="16"/>
        <v>7000</v>
      </c>
      <c r="AN9" s="11">
        <f t="shared" si="17"/>
        <v>7000</v>
      </c>
      <c r="AO9" s="5">
        <v>7</v>
      </c>
      <c r="AP9" s="11">
        <f t="shared" si="18"/>
        <v>7000</v>
      </c>
      <c r="AQ9" s="11">
        <f t="shared" si="19"/>
        <v>7000</v>
      </c>
      <c r="AR9" s="5">
        <v>7</v>
      </c>
      <c r="AS9" s="11">
        <f t="shared" si="20"/>
        <v>7000</v>
      </c>
      <c r="AT9" s="11">
        <f t="shared" si="21"/>
        <v>7000</v>
      </c>
      <c r="AU9" s="5">
        <v>7</v>
      </c>
      <c r="AV9" s="11">
        <f t="shared" si="22"/>
        <v>7000</v>
      </c>
      <c r="AW9" s="11">
        <f t="shared" si="23"/>
        <v>7000</v>
      </c>
      <c r="AX9" s="5">
        <v>7</v>
      </c>
      <c r="AY9" s="5">
        <v>0</v>
      </c>
      <c r="AZ9" s="11">
        <f t="shared" si="24"/>
        <v>84000</v>
      </c>
      <c r="BA9" s="11">
        <f t="shared" si="24"/>
        <v>84000</v>
      </c>
      <c r="BB9" s="5">
        <v>7</v>
      </c>
    </row>
    <row r="10" spans="1:55" s="6" customFormat="1">
      <c r="A10" s="7" t="s">
        <v>55</v>
      </c>
      <c r="B10" s="7" t="s">
        <v>56</v>
      </c>
      <c r="C10" s="7" t="s">
        <v>57</v>
      </c>
      <c r="D10" s="7" t="s">
        <v>92</v>
      </c>
      <c r="E10" s="7"/>
      <c r="F10" s="7">
        <v>38617008</v>
      </c>
      <c r="G10" s="7">
        <v>5841813202</v>
      </c>
      <c r="H10" s="7" t="s">
        <v>60</v>
      </c>
      <c r="I10" s="7" t="s">
        <v>93</v>
      </c>
      <c r="J10" s="7" t="s">
        <v>73</v>
      </c>
      <c r="K10" s="7" t="s">
        <v>79</v>
      </c>
      <c r="L10" s="7" t="s">
        <v>74</v>
      </c>
      <c r="M10" s="7"/>
      <c r="N10" s="7" t="s">
        <v>69</v>
      </c>
      <c r="O10" s="12">
        <f t="shared" si="0"/>
        <v>4000</v>
      </c>
      <c r="P10" s="12">
        <f t="shared" si="1"/>
        <v>4000</v>
      </c>
      <c r="Q10" s="7">
        <v>4</v>
      </c>
      <c r="R10" s="12">
        <f t="shared" si="2"/>
        <v>4000</v>
      </c>
      <c r="S10" s="12">
        <f t="shared" si="3"/>
        <v>4000</v>
      </c>
      <c r="T10" s="7">
        <v>4</v>
      </c>
      <c r="U10" s="12">
        <f t="shared" si="4"/>
        <v>4000</v>
      </c>
      <c r="V10" s="12">
        <f t="shared" si="5"/>
        <v>4000</v>
      </c>
      <c r="W10" s="7">
        <v>4</v>
      </c>
      <c r="X10" s="12">
        <f t="shared" si="6"/>
        <v>4000</v>
      </c>
      <c r="Y10" s="12">
        <f t="shared" si="7"/>
        <v>4000</v>
      </c>
      <c r="Z10" s="7">
        <v>4</v>
      </c>
      <c r="AA10" s="12">
        <f t="shared" si="8"/>
        <v>4000</v>
      </c>
      <c r="AB10" s="12">
        <f t="shared" si="9"/>
        <v>4000</v>
      </c>
      <c r="AC10" s="7">
        <v>4</v>
      </c>
      <c r="AD10" s="12">
        <f t="shared" si="10"/>
        <v>4000</v>
      </c>
      <c r="AE10" s="12">
        <f t="shared" si="11"/>
        <v>4000</v>
      </c>
      <c r="AF10" s="7">
        <v>4</v>
      </c>
      <c r="AG10" s="12">
        <f t="shared" si="12"/>
        <v>4000</v>
      </c>
      <c r="AH10" s="12">
        <f t="shared" si="13"/>
        <v>4000</v>
      </c>
      <c r="AI10" s="7">
        <v>4</v>
      </c>
      <c r="AJ10" s="12">
        <f t="shared" si="14"/>
        <v>4000</v>
      </c>
      <c r="AK10" s="12">
        <f t="shared" si="15"/>
        <v>4000</v>
      </c>
      <c r="AL10" s="7">
        <v>4</v>
      </c>
      <c r="AM10" s="12">
        <f t="shared" si="16"/>
        <v>4000</v>
      </c>
      <c r="AN10" s="12">
        <f t="shared" si="17"/>
        <v>4000</v>
      </c>
      <c r="AO10" s="7">
        <v>4</v>
      </c>
      <c r="AP10" s="12">
        <f t="shared" si="18"/>
        <v>4000</v>
      </c>
      <c r="AQ10" s="12">
        <f t="shared" si="19"/>
        <v>4000</v>
      </c>
      <c r="AR10" s="7">
        <v>4</v>
      </c>
      <c r="AS10" s="12">
        <f t="shared" si="20"/>
        <v>4000</v>
      </c>
      <c r="AT10" s="12">
        <f t="shared" si="21"/>
        <v>4000</v>
      </c>
      <c r="AU10" s="7">
        <v>4</v>
      </c>
      <c r="AV10" s="12">
        <f t="shared" si="22"/>
        <v>4000</v>
      </c>
      <c r="AW10" s="12">
        <f t="shared" si="23"/>
        <v>4000</v>
      </c>
      <c r="AX10" s="7">
        <v>4</v>
      </c>
      <c r="AY10" s="7">
        <v>0</v>
      </c>
      <c r="AZ10" s="12">
        <f t="shared" si="24"/>
        <v>48000</v>
      </c>
      <c r="BA10" s="12">
        <f t="shared" si="24"/>
        <v>48000</v>
      </c>
      <c r="BB10" s="7">
        <v>4</v>
      </c>
    </row>
    <row r="11" spans="1:55" s="4" customFormat="1">
      <c r="A11" s="5" t="s">
        <v>55</v>
      </c>
      <c r="B11" s="5" t="s">
        <v>56</v>
      </c>
      <c r="C11" s="5" t="s">
        <v>57</v>
      </c>
      <c r="D11" s="5" t="s">
        <v>94</v>
      </c>
      <c r="E11" s="5" t="s">
        <v>69</v>
      </c>
      <c r="F11" s="5">
        <v>36617001</v>
      </c>
      <c r="G11" s="5">
        <v>5841813202</v>
      </c>
      <c r="H11" s="5" t="s">
        <v>60</v>
      </c>
      <c r="I11" s="5" t="s">
        <v>95</v>
      </c>
      <c r="J11" s="5" t="s">
        <v>73</v>
      </c>
      <c r="K11" s="5" t="s">
        <v>79</v>
      </c>
      <c r="L11" s="5" t="s">
        <v>74</v>
      </c>
      <c r="M11" s="5"/>
      <c r="N11" s="5" t="s">
        <v>69</v>
      </c>
      <c r="O11" s="11">
        <f t="shared" si="0"/>
        <v>6000</v>
      </c>
      <c r="P11" s="11">
        <f t="shared" si="1"/>
        <v>6000</v>
      </c>
      <c r="Q11" s="5">
        <v>6</v>
      </c>
      <c r="R11" s="11">
        <f t="shared" si="2"/>
        <v>6000</v>
      </c>
      <c r="S11" s="11">
        <f t="shared" si="3"/>
        <v>6000</v>
      </c>
      <c r="T11" s="5">
        <v>6</v>
      </c>
      <c r="U11" s="11">
        <f t="shared" si="4"/>
        <v>6000</v>
      </c>
      <c r="V11" s="11">
        <f t="shared" si="5"/>
        <v>6000</v>
      </c>
      <c r="W11" s="5">
        <v>6</v>
      </c>
      <c r="X11" s="11">
        <f t="shared" si="6"/>
        <v>6000</v>
      </c>
      <c r="Y11" s="11">
        <f t="shared" si="7"/>
        <v>6000</v>
      </c>
      <c r="Z11" s="5">
        <v>6</v>
      </c>
      <c r="AA11" s="11">
        <f t="shared" si="8"/>
        <v>6000</v>
      </c>
      <c r="AB11" s="11">
        <f t="shared" si="9"/>
        <v>6000</v>
      </c>
      <c r="AC11" s="5">
        <v>6</v>
      </c>
      <c r="AD11" s="11">
        <f t="shared" si="10"/>
        <v>6000</v>
      </c>
      <c r="AE11" s="11">
        <f t="shared" si="11"/>
        <v>6000</v>
      </c>
      <c r="AF11" s="5">
        <v>6</v>
      </c>
      <c r="AG11" s="11">
        <f t="shared" si="12"/>
        <v>6000</v>
      </c>
      <c r="AH11" s="11">
        <f t="shared" si="13"/>
        <v>6000</v>
      </c>
      <c r="AI11" s="5">
        <v>6</v>
      </c>
      <c r="AJ11" s="11">
        <f t="shared" si="14"/>
        <v>6000</v>
      </c>
      <c r="AK11" s="11">
        <f t="shared" si="15"/>
        <v>6000</v>
      </c>
      <c r="AL11" s="5">
        <v>6</v>
      </c>
      <c r="AM11" s="11">
        <f t="shared" si="16"/>
        <v>6000</v>
      </c>
      <c r="AN11" s="11">
        <f t="shared" si="17"/>
        <v>6000</v>
      </c>
      <c r="AO11" s="5">
        <v>6</v>
      </c>
      <c r="AP11" s="11">
        <f t="shared" si="18"/>
        <v>6000</v>
      </c>
      <c r="AQ11" s="11">
        <f t="shared" si="19"/>
        <v>6000</v>
      </c>
      <c r="AR11" s="5">
        <v>6</v>
      </c>
      <c r="AS11" s="11">
        <f t="shared" si="20"/>
        <v>6000</v>
      </c>
      <c r="AT11" s="11">
        <f t="shared" si="21"/>
        <v>6000</v>
      </c>
      <c r="AU11" s="5">
        <v>6</v>
      </c>
      <c r="AV11" s="11">
        <f t="shared" si="22"/>
        <v>6000</v>
      </c>
      <c r="AW11" s="11">
        <f t="shared" si="23"/>
        <v>6000</v>
      </c>
      <c r="AX11" s="5">
        <v>6</v>
      </c>
      <c r="AY11" s="5">
        <v>0</v>
      </c>
      <c r="AZ11" s="11">
        <f t="shared" si="24"/>
        <v>72000</v>
      </c>
      <c r="BA11" s="11">
        <f t="shared" si="24"/>
        <v>72000</v>
      </c>
      <c r="BB11" s="5">
        <v>6</v>
      </c>
    </row>
    <row r="12" spans="1:55" s="6" customFormat="1">
      <c r="A12" s="7" t="s">
        <v>55</v>
      </c>
      <c r="B12" s="7" t="s">
        <v>56</v>
      </c>
      <c r="C12" s="7" t="s">
        <v>80</v>
      </c>
      <c r="D12" s="7" t="s">
        <v>96</v>
      </c>
      <c r="E12" s="7" t="s">
        <v>69</v>
      </c>
      <c r="F12" s="7">
        <v>36617009</v>
      </c>
      <c r="G12" s="7">
        <v>5841993202</v>
      </c>
      <c r="H12" s="7" t="s">
        <v>60</v>
      </c>
      <c r="I12" s="7" t="s">
        <v>97</v>
      </c>
      <c r="J12" s="7" t="s">
        <v>73</v>
      </c>
      <c r="K12" s="7" t="s">
        <v>79</v>
      </c>
      <c r="L12" s="7" t="s">
        <v>74</v>
      </c>
      <c r="M12" s="7"/>
      <c r="N12" s="7" t="s">
        <v>69</v>
      </c>
      <c r="O12" s="12">
        <f t="shared" si="0"/>
        <v>7000</v>
      </c>
      <c r="P12" s="12">
        <f t="shared" si="1"/>
        <v>7000</v>
      </c>
      <c r="Q12" s="7">
        <v>7</v>
      </c>
      <c r="R12" s="12">
        <f t="shared" si="2"/>
        <v>7000</v>
      </c>
      <c r="S12" s="12">
        <f t="shared" si="3"/>
        <v>7000</v>
      </c>
      <c r="T12" s="7">
        <v>7</v>
      </c>
      <c r="U12" s="12">
        <f t="shared" si="4"/>
        <v>7000</v>
      </c>
      <c r="V12" s="12">
        <f t="shared" si="5"/>
        <v>7000</v>
      </c>
      <c r="W12" s="7">
        <v>7</v>
      </c>
      <c r="X12" s="12">
        <f t="shared" si="6"/>
        <v>7000</v>
      </c>
      <c r="Y12" s="12">
        <f t="shared" si="7"/>
        <v>7000</v>
      </c>
      <c r="Z12" s="7">
        <v>7</v>
      </c>
      <c r="AA12" s="12">
        <f t="shared" si="8"/>
        <v>7000</v>
      </c>
      <c r="AB12" s="12">
        <f t="shared" si="9"/>
        <v>7000</v>
      </c>
      <c r="AC12" s="7">
        <v>7</v>
      </c>
      <c r="AD12" s="12">
        <f t="shared" si="10"/>
        <v>7000</v>
      </c>
      <c r="AE12" s="12">
        <f t="shared" si="11"/>
        <v>7000</v>
      </c>
      <c r="AF12" s="7">
        <v>7</v>
      </c>
      <c r="AG12" s="12">
        <f t="shared" si="12"/>
        <v>7000</v>
      </c>
      <c r="AH12" s="12">
        <f t="shared" si="13"/>
        <v>7000</v>
      </c>
      <c r="AI12" s="7">
        <v>7</v>
      </c>
      <c r="AJ12" s="12">
        <f t="shared" si="14"/>
        <v>7000</v>
      </c>
      <c r="AK12" s="12">
        <f t="shared" si="15"/>
        <v>7000</v>
      </c>
      <c r="AL12" s="7">
        <v>7</v>
      </c>
      <c r="AM12" s="12">
        <f t="shared" si="16"/>
        <v>7000</v>
      </c>
      <c r="AN12" s="12">
        <f t="shared" si="17"/>
        <v>7000</v>
      </c>
      <c r="AO12" s="7">
        <v>7</v>
      </c>
      <c r="AP12" s="12">
        <f t="shared" si="18"/>
        <v>7000</v>
      </c>
      <c r="AQ12" s="12">
        <f t="shared" si="19"/>
        <v>7000</v>
      </c>
      <c r="AR12" s="7">
        <v>7</v>
      </c>
      <c r="AS12" s="12">
        <f t="shared" si="20"/>
        <v>7000</v>
      </c>
      <c r="AT12" s="12">
        <f t="shared" si="21"/>
        <v>7000</v>
      </c>
      <c r="AU12" s="7">
        <v>7</v>
      </c>
      <c r="AV12" s="12">
        <f t="shared" si="22"/>
        <v>7000</v>
      </c>
      <c r="AW12" s="12">
        <f t="shared" si="23"/>
        <v>7000</v>
      </c>
      <c r="AX12" s="7">
        <v>7</v>
      </c>
      <c r="AY12" s="7">
        <v>0</v>
      </c>
      <c r="AZ12" s="12">
        <f t="shared" si="24"/>
        <v>84000</v>
      </c>
      <c r="BA12" s="12">
        <f t="shared" si="24"/>
        <v>84000</v>
      </c>
      <c r="BB12" s="7">
        <v>7</v>
      </c>
    </row>
    <row r="13" spans="1:55" s="4" customFormat="1">
      <c r="A13" s="5" t="s">
        <v>55</v>
      </c>
      <c r="B13" s="5" t="s">
        <v>56</v>
      </c>
      <c r="C13" s="5" t="s">
        <v>86</v>
      </c>
      <c r="D13" s="5" t="s">
        <v>98</v>
      </c>
      <c r="E13" s="5" t="s">
        <v>69</v>
      </c>
      <c r="F13" s="5">
        <v>38617007</v>
      </c>
      <c r="G13" s="5">
        <v>5842073202</v>
      </c>
      <c r="H13" s="5" t="s">
        <v>60</v>
      </c>
      <c r="I13" s="5" t="s">
        <v>99</v>
      </c>
      <c r="J13" s="5" t="s">
        <v>73</v>
      </c>
      <c r="K13" s="5" t="s">
        <v>79</v>
      </c>
      <c r="L13" s="5" t="s">
        <v>74</v>
      </c>
      <c r="M13" s="5"/>
      <c r="N13" s="5" t="s">
        <v>69</v>
      </c>
      <c r="O13" s="11">
        <f t="shared" si="0"/>
        <v>6000</v>
      </c>
      <c r="P13" s="11">
        <f t="shared" si="1"/>
        <v>6000</v>
      </c>
      <c r="Q13" s="5">
        <v>6</v>
      </c>
      <c r="R13" s="11">
        <f t="shared" si="2"/>
        <v>6000</v>
      </c>
      <c r="S13" s="11">
        <f t="shared" si="3"/>
        <v>6000</v>
      </c>
      <c r="T13" s="5">
        <v>6</v>
      </c>
      <c r="U13" s="11">
        <f t="shared" si="4"/>
        <v>6000</v>
      </c>
      <c r="V13" s="11">
        <f t="shared" si="5"/>
        <v>6000</v>
      </c>
      <c r="W13" s="5">
        <v>6</v>
      </c>
      <c r="X13" s="11">
        <f t="shared" si="6"/>
        <v>6000</v>
      </c>
      <c r="Y13" s="11">
        <f t="shared" si="7"/>
        <v>6000</v>
      </c>
      <c r="Z13" s="5">
        <v>6</v>
      </c>
      <c r="AA13" s="11">
        <f t="shared" si="8"/>
        <v>6000</v>
      </c>
      <c r="AB13" s="11">
        <f t="shared" si="9"/>
        <v>6000</v>
      </c>
      <c r="AC13" s="5">
        <v>6</v>
      </c>
      <c r="AD13" s="11">
        <f t="shared" si="10"/>
        <v>6000</v>
      </c>
      <c r="AE13" s="11">
        <f t="shared" si="11"/>
        <v>6000</v>
      </c>
      <c r="AF13" s="5">
        <v>6</v>
      </c>
      <c r="AG13" s="11">
        <f t="shared" si="12"/>
        <v>6000</v>
      </c>
      <c r="AH13" s="11">
        <f t="shared" si="13"/>
        <v>6000</v>
      </c>
      <c r="AI13" s="5">
        <v>6</v>
      </c>
      <c r="AJ13" s="11">
        <f t="shared" si="14"/>
        <v>6000</v>
      </c>
      <c r="AK13" s="11">
        <f t="shared" si="15"/>
        <v>6000</v>
      </c>
      <c r="AL13" s="5">
        <v>6</v>
      </c>
      <c r="AM13" s="11">
        <f t="shared" si="16"/>
        <v>6000</v>
      </c>
      <c r="AN13" s="11">
        <f t="shared" si="17"/>
        <v>6000</v>
      </c>
      <c r="AO13" s="5">
        <v>6</v>
      </c>
      <c r="AP13" s="11">
        <f t="shared" si="18"/>
        <v>6000</v>
      </c>
      <c r="AQ13" s="11">
        <f t="shared" si="19"/>
        <v>6000</v>
      </c>
      <c r="AR13" s="5">
        <v>6</v>
      </c>
      <c r="AS13" s="11">
        <f t="shared" si="20"/>
        <v>6000</v>
      </c>
      <c r="AT13" s="11">
        <f t="shared" si="21"/>
        <v>6000</v>
      </c>
      <c r="AU13" s="5">
        <v>6</v>
      </c>
      <c r="AV13" s="11">
        <f t="shared" si="22"/>
        <v>6000</v>
      </c>
      <c r="AW13" s="11">
        <f t="shared" si="23"/>
        <v>6000</v>
      </c>
      <c r="AX13" s="5">
        <v>6</v>
      </c>
      <c r="AY13" s="5">
        <v>0</v>
      </c>
      <c r="AZ13" s="11">
        <f t="shared" si="24"/>
        <v>72000</v>
      </c>
      <c r="BA13" s="11">
        <f t="shared" si="24"/>
        <v>72000</v>
      </c>
      <c r="BB13" s="5">
        <v>6</v>
      </c>
    </row>
    <row r="14" spans="1:55" s="6" customFormat="1">
      <c r="A14" s="7" t="s">
        <v>55</v>
      </c>
      <c r="B14" s="7" t="s">
        <v>56</v>
      </c>
      <c r="C14" s="7" t="s">
        <v>63</v>
      </c>
      <c r="D14" s="7" t="s">
        <v>100</v>
      </c>
      <c r="E14" s="7" t="s">
        <v>69</v>
      </c>
      <c r="F14" s="7">
        <v>36617003</v>
      </c>
      <c r="G14" s="7">
        <v>5842213202</v>
      </c>
      <c r="H14" s="7" t="s">
        <v>60</v>
      </c>
      <c r="I14" s="7" t="s">
        <v>101</v>
      </c>
      <c r="J14" s="7" t="s">
        <v>73</v>
      </c>
      <c r="K14" s="7" t="s">
        <v>79</v>
      </c>
      <c r="L14" s="7" t="s">
        <v>74</v>
      </c>
      <c r="M14" s="7"/>
      <c r="N14" s="7" t="s">
        <v>69</v>
      </c>
      <c r="O14" s="12">
        <f t="shared" si="0"/>
        <v>5000</v>
      </c>
      <c r="P14" s="12">
        <f t="shared" si="1"/>
        <v>5000</v>
      </c>
      <c r="Q14" s="7">
        <v>5</v>
      </c>
      <c r="R14" s="12">
        <f t="shared" si="2"/>
        <v>5000</v>
      </c>
      <c r="S14" s="12">
        <f t="shared" si="3"/>
        <v>5000</v>
      </c>
      <c r="T14" s="7">
        <v>5</v>
      </c>
      <c r="U14" s="12">
        <f t="shared" si="4"/>
        <v>5000</v>
      </c>
      <c r="V14" s="12">
        <f t="shared" si="5"/>
        <v>5000</v>
      </c>
      <c r="W14" s="7">
        <v>5</v>
      </c>
      <c r="X14" s="12">
        <f t="shared" si="6"/>
        <v>5000</v>
      </c>
      <c r="Y14" s="12">
        <f t="shared" si="7"/>
        <v>5000</v>
      </c>
      <c r="Z14" s="7">
        <v>5</v>
      </c>
      <c r="AA14" s="12">
        <f t="shared" si="8"/>
        <v>5000</v>
      </c>
      <c r="AB14" s="12">
        <f t="shared" si="9"/>
        <v>5000</v>
      </c>
      <c r="AC14" s="7">
        <v>5</v>
      </c>
      <c r="AD14" s="12">
        <f t="shared" si="10"/>
        <v>5000</v>
      </c>
      <c r="AE14" s="12">
        <f t="shared" si="11"/>
        <v>5000</v>
      </c>
      <c r="AF14" s="7">
        <v>5</v>
      </c>
      <c r="AG14" s="12">
        <f t="shared" si="12"/>
        <v>5000</v>
      </c>
      <c r="AH14" s="12">
        <f t="shared" si="13"/>
        <v>5000</v>
      </c>
      <c r="AI14" s="7">
        <v>5</v>
      </c>
      <c r="AJ14" s="12">
        <f t="shared" si="14"/>
        <v>5000</v>
      </c>
      <c r="AK14" s="12">
        <f t="shared" si="15"/>
        <v>5000</v>
      </c>
      <c r="AL14" s="7">
        <v>5</v>
      </c>
      <c r="AM14" s="12">
        <f t="shared" si="16"/>
        <v>5000</v>
      </c>
      <c r="AN14" s="12">
        <f t="shared" si="17"/>
        <v>5000</v>
      </c>
      <c r="AO14" s="7">
        <v>5</v>
      </c>
      <c r="AP14" s="12">
        <f t="shared" si="18"/>
        <v>5000</v>
      </c>
      <c r="AQ14" s="12">
        <f t="shared" si="19"/>
        <v>5000</v>
      </c>
      <c r="AR14" s="7">
        <v>5</v>
      </c>
      <c r="AS14" s="12">
        <f t="shared" si="20"/>
        <v>5000</v>
      </c>
      <c r="AT14" s="12">
        <f t="shared" si="21"/>
        <v>5000</v>
      </c>
      <c r="AU14" s="7">
        <v>5</v>
      </c>
      <c r="AV14" s="12">
        <f t="shared" si="22"/>
        <v>5000</v>
      </c>
      <c r="AW14" s="12">
        <f t="shared" si="23"/>
        <v>5000</v>
      </c>
      <c r="AX14" s="7">
        <v>5</v>
      </c>
      <c r="AY14" s="7">
        <v>0</v>
      </c>
      <c r="AZ14" s="12">
        <f t="shared" si="24"/>
        <v>60000</v>
      </c>
      <c r="BA14" s="12">
        <f t="shared" si="24"/>
        <v>60000</v>
      </c>
      <c r="BB14" s="7">
        <v>5</v>
      </c>
    </row>
    <row r="15" spans="1:55" s="4" customFormat="1">
      <c r="A15" s="5" t="s">
        <v>55</v>
      </c>
      <c r="B15" s="5" t="s">
        <v>56</v>
      </c>
      <c r="C15" s="5" t="s">
        <v>102</v>
      </c>
      <c r="D15" s="5" t="s">
        <v>103</v>
      </c>
      <c r="E15" s="5"/>
      <c r="F15" s="5" t="s">
        <v>104</v>
      </c>
      <c r="G15" s="5" t="s">
        <v>104</v>
      </c>
      <c r="H15" s="5" t="s">
        <v>60</v>
      </c>
      <c r="I15" s="5" t="s">
        <v>104</v>
      </c>
      <c r="J15" s="5" t="s">
        <v>78</v>
      </c>
      <c r="K15" s="5" t="s">
        <v>79</v>
      </c>
      <c r="L15" s="5" t="s">
        <v>74</v>
      </c>
      <c r="M15" s="5"/>
      <c r="N15" s="5" t="s">
        <v>69</v>
      </c>
      <c r="O15" s="11">
        <f t="shared" si="0"/>
        <v>4000</v>
      </c>
      <c r="P15" s="11">
        <f t="shared" si="1"/>
        <v>4000</v>
      </c>
      <c r="Q15" s="5">
        <v>4</v>
      </c>
      <c r="R15" s="11">
        <f t="shared" si="2"/>
        <v>4000</v>
      </c>
      <c r="S15" s="11">
        <f t="shared" si="3"/>
        <v>4000</v>
      </c>
      <c r="T15" s="5">
        <v>4</v>
      </c>
      <c r="U15" s="11">
        <f t="shared" si="4"/>
        <v>4000</v>
      </c>
      <c r="V15" s="11">
        <f t="shared" si="5"/>
        <v>4000</v>
      </c>
      <c r="W15" s="5">
        <v>4</v>
      </c>
      <c r="X15" s="11">
        <f t="shared" si="6"/>
        <v>4000</v>
      </c>
      <c r="Y15" s="11">
        <f t="shared" si="7"/>
        <v>4000</v>
      </c>
      <c r="Z15" s="5">
        <v>4</v>
      </c>
      <c r="AA15" s="11">
        <f t="shared" si="8"/>
        <v>4000</v>
      </c>
      <c r="AB15" s="11">
        <f t="shared" si="9"/>
        <v>4000</v>
      </c>
      <c r="AC15" s="5">
        <v>4</v>
      </c>
      <c r="AD15" s="11">
        <f t="shared" si="10"/>
        <v>4000</v>
      </c>
      <c r="AE15" s="11">
        <f t="shared" si="11"/>
        <v>4000</v>
      </c>
      <c r="AF15" s="5">
        <v>4</v>
      </c>
      <c r="AG15" s="11">
        <f t="shared" si="12"/>
        <v>4000</v>
      </c>
      <c r="AH15" s="11">
        <f t="shared" si="13"/>
        <v>4000</v>
      </c>
      <c r="AI15" s="5">
        <v>4</v>
      </c>
      <c r="AJ15" s="11">
        <f t="shared" si="14"/>
        <v>4000</v>
      </c>
      <c r="AK15" s="11">
        <f t="shared" si="15"/>
        <v>4000</v>
      </c>
      <c r="AL15" s="5">
        <v>4</v>
      </c>
      <c r="AM15" s="11">
        <f t="shared" si="16"/>
        <v>4000</v>
      </c>
      <c r="AN15" s="11">
        <f t="shared" si="17"/>
        <v>4000</v>
      </c>
      <c r="AO15" s="5">
        <v>4</v>
      </c>
      <c r="AP15" s="11">
        <f t="shared" si="18"/>
        <v>4000</v>
      </c>
      <c r="AQ15" s="11">
        <f t="shared" si="19"/>
        <v>4000</v>
      </c>
      <c r="AR15" s="5">
        <v>4</v>
      </c>
      <c r="AS15" s="11">
        <f t="shared" si="20"/>
        <v>4000</v>
      </c>
      <c r="AT15" s="11">
        <f t="shared" si="21"/>
        <v>4000</v>
      </c>
      <c r="AU15" s="5">
        <v>4</v>
      </c>
      <c r="AV15" s="11">
        <f t="shared" si="22"/>
        <v>4000</v>
      </c>
      <c r="AW15" s="11">
        <f t="shared" si="23"/>
        <v>4000</v>
      </c>
      <c r="AX15" s="5">
        <v>4</v>
      </c>
      <c r="AY15" s="5">
        <v>0</v>
      </c>
      <c r="AZ15" s="11">
        <f t="shared" si="24"/>
        <v>48000</v>
      </c>
      <c r="BA15" s="11">
        <f t="shared" si="24"/>
        <v>48000</v>
      </c>
      <c r="BB15" s="5">
        <v>4</v>
      </c>
    </row>
    <row r="16" spans="1:55" s="6" customFormat="1">
      <c r="A16" s="7" t="s">
        <v>55</v>
      </c>
      <c r="B16" s="7" t="s">
        <v>56</v>
      </c>
      <c r="C16" s="7" t="s">
        <v>102</v>
      </c>
      <c r="D16" s="7" t="s">
        <v>108</v>
      </c>
      <c r="E16" s="7" t="s">
        <v>69</v>
      </c>
      <c r="F16" s="7">
        <v>36617006</v>
      </c>
      <c r="G16" s="7">
        <v>5842083202</v>
      </c>
      <c r="H16" s="7" t="s">
        <v>60</v>
      </c>
      <c r="I16" s="7" t="s">
        <v>109</v>
      </c>
      <c r="J16" s="7" t="s">
        <v>73</v>
      </c>
      <c r="K16" s="7" t="s">
        <v>79</v>
      </c>
      <c r="L16" s="7" t="s">
        <v>74</v>
      </c>
      <c r="M16" s="7"/>
      <c r="N16" s="7" t="s">
        <v>69</v>
      </c>
      <c r="O16" s="12">
        <f t="shared" si="0"/>
        <v>7000</v>
      </c>
      <c r="P16" s="12">
        <f t="shared" si="1"/>
        <v>7000</v>
      </c>
      <c r="Q16" s="7">
        <v>7</v>
      </c>
      <c r="R16" s="12">
        <f t="shared" si="2"/>
        <v>7000</v>
      </c>
      <c r="S16" s="12">
        <f t="shared" si="3"/>
        <v>7000</v>
      </c>
      <c r="T16" s="7">
        <v>7</v>
      </c>
      <c r="U16" s="12">
        <f t="shared" si="4"/>
        <v>7000</v>
      </c>
      <c r="V16" s="12">
        <f t="shared" si="5"/>
        <v>7000</v>
      </c>
      <c r="W16" s="7">
        <v>7</v>
      </c>
      <c r="X16" s="12">
        <f t="shared" si="6"/>
        <v>7000</v>
      </c>
      <c r="Y16" s="12">
        <f t="shared" si="7"/>
        <v>7000</v>
      </c>
      <c r="Z16" s="7">
        <v>7</v>
      </c>
      <c r="AA16" s="12">
        <f t="shared" si="8"/>
        <v>7000</v>
      </c>
      <c r="AB16" s="12">
        <f t="shared" si="9"/>
        <v>7000</v>
      </c>
      <c r="AC16" s="7">
        <v>7</v>
      </c>
      <c r="AD16" s="12">
        <f t="shared" si="10"/>
        <v>7000</v>
      </c>
      <c r="AE16" s="12">
        <f t="shared" si="11"/>
        <v>7000</v>
      </c>
      <c r="AF16" s="7">
        <v>7</v>
      </c>
      <c r="AG16" s="12">
        <f t="shared" si="12"/>
        <v>7000</v>
      </c>
      <c r="AH16" s="12">
        <f t="shared" si="13"/>
        <v>7000</v>
      </c>
      <c r="AI16" s="7">
        <v>7</v>
      </c>
      <c r="AJ16" s="12">
        <f t="shared" si="14"/>
        <v>7000</v>
      </c>
      <c r="AK16" s="12">
        <f t="shared" si="15"/>
        <v>7000</v>
      </c>
      <c r="AL16" s="7">
        <v>7</v>
      </c>
      <c r="AM16" s="12">
        <f t="shared" si="16"/>
        <v>7000</v>
      </c>
      <c r="AN16" s="12">
        <f t="shared" si="17"/>
        <v>7000</v>
      </c>
      <c r="AO16" s="7">
        <v>7</v>
      </c>
      <c r="AP16" s="12">
        <f t="shared" si="18"/>
        <v>7000</v>
      </c>
      <c r="AQ16" s="12">
        <f t="shared" si="19"/>
        <v>7000</v>
      </c>
      <c r="AR16" s="7">
        <v>7</v>
      </c>
      <c r="AS16" s="12">
        <f t="shared" si="20"/>
        <v>7000</v>
      </c>
      <c r="AT16" s="12">
        <f t="shared" si="21"/>
        <v>7000</v>
      </c>
      <c r="AU16" s="7">
        <v>7</v>
      </c>
      <c r="AV16" s="12">
        <f t="shared" si="22"/>
        <v>7000</v>
      </c>
      <c r="AW16" s="12">
        <f t="shared" si="23"/>
        <v>7000</v>
      </c>
      <c r="AX16" s="7">
        <v>7</v>
      </c>
      <c r="AY16" s="7">
        <v>0</v>
      </c>
      <c r="AZ16" s="12">
        <f t="shared" si="24"/>
        <v>84000</v>
      </c>
      <c r="BA16" s="12">
        <f t="shared" si="24"/>
        <v>84000</v>
      </c>
      <c r="BB16" s="7">
        <v>7</v>
      </c>
    </row>
    <row r="17" spans="1:54" s="4" customFormat="1">
      <c r="A17" s="5" t="s">
        <v>55</v>
      </c>
      <c r="B17" s="5" t="s">
        <v>56</v>
      </c>
      <c r="C17" s="5" t="s">
        <v>75</v>
      </c>
      <c r="D17" s="5" t="s">
        <v>110</v>
      </c>
      <c r="E17" s="5" t="s">
        <v>69</v>
      </c>
      <c r="F17" s="5">
        <v>38617002</v>
      </c>
      <c r="G17" s="5">
        <v>5842283202</v>
      </c>
      <c r="H17" s="5" t="s">
        <v>60</v>
      </c>
      <c r="I17" s="5" t="s">
        <v>111</v>
      </c>
      <c r="J17" s="5" t="s">
        <v>73</v>
      </c>
      <c r="K17" s="5" t="s">
        <v>79</v>
      </c>
      <c r="L17" s="5" t="s">
        <v>74</v>
      </c>
      <c r="M17" s="5"/>
      <c r="N17" s="5" t="s">
        <v>69</v>
      </c>
      <c r="O17" s="11">
        <f t="shared" si="0"/>
        <v>7000</v>
      </c>
      <c r="P17" s="11">
        <f t="shared" si="1"/>
        <v>7000</v>
      </c>
      <c r="Q17" s="5">
        <v>7</v>
      </c>
      <c r="R17" s="11">
        <f t="shared" si="2"/>
        <v>7000</v>
      </c>
      <c r="S17" s="11">
        <f t="shared" si="3"/>
        <v>7000</v>
      </c>
      <c r="T17" s="5">
        <v>7</v>
      </c>
      <c r="U17" s="11">
        <f t="shared" si="4"/>
        <v>7000</v>
      </c>
      <c r="V17" s="11">
        <f t="shared" si="5"/>
        <v>7000</v>
      </c>
      <c r="W17" s="5">
        <v>7</v>
      </c>
      <c r="X17" s="11">
        <f t="shared" si="6"/>
        <v>7000</v>
      </c>
      <c r="Y17" s="11">
        <f t="shared" si="7"/>
        <v>7000</v>
      </c>
      <c r="Z17" s="5">
        <v>7</v>
      </c>
      <c r="AA17" s="11">
        <f t="shared" si="8"/>
        <v>7000</v>
      </c>
      <c r="AB17" s="11">
        <f t="shared" si="9"/>
        <v>7000</v>
      </c>
      <c r="AC17" s="5">
        <v>7</v>
      </c>
      <c r="AD17" s="11">
        <f t="shared" si="10"/>
        <v>7000</v>
      </c>
      <c r="AE17" s="11">
        <f t="shared" si="11"/>
        <v>7000</v>
      </c>
      <c r="AF17" s="5">
        <v>7</v>
      </c>
      <c r="AG17" s="11">
        <f t="shared" si="12"/>
        <v>7000</v>
      </c>
      <c r="AH17" s="11">
        <f t="shared" si="13"/>
        <v>7000</v>
      </c>
      <c r="AI17" s="5">
        <v>7</v>
      </c>
      <c r="AJ17" s="11">
        <f t="shared" si="14"/>
        <v>7000</v>
      </c>
      <c r="AK17" s="11">
        <f t="shared" si="15"/>
        <v>7000</v>
      </c>
      <c r="AL17" s="5">
        <v>7</v>
      </c>
      <c r="AM17" s="11">
        <f t="shared" si="16"/>
        <v>7000</v>
      </c>
      <c r="AN17" s="11">
        <f t="shared" si="17"/>
        <v>7000</v>
      </c>
      <c r="AO17" s="5">
        <v>7</v>
      </c>
      <c r="AP17" s="11">
        <f t="shared" si="18"/>
        <v>7000</v>
      </c>
      <c r="AQ17" s="11">
        <f t="shared" si="19"/>
        <v>7000</v>
      </c>
      <c r="AR17" s="5">
        <v>7</v>
      </c>
      <c r="AS17" s="11">
        <f t="shared" si="20"/>
        <v>7000</v>
      </c>
      <c r="AT17" s="11">
        <f t="shared" si="21"/>
        <v>7000</v>
      </c>
      <c r="AU17" s="5">
        <v>7</v>
      </c>
      <c r="AV17" s="11">
        <f t="shared" si="22"/>
        <v>7000</v>
      </c>
      <c r="AW17" s="11">
        <f t="shared" si="23"/>
        <v>7000</v>
      </c>
      <c r="AX17" s="5">
        <v>7</v>
      </c>
      <c r="AY17" s="5">
        <v>0</v>
      </c>
      <c r="AZ17" s="11">
        <f t="shared" si="24"/>
        <v>84000</v>
      </c>
      <c r="BA17" s="11">
        <f t="shared" si="24"/>
        <v>84000</v>
      </c>
      <c r="BB17" s="5">
        <v>7</v>
      </c>
    </row>
    <row r="18" spans="1:54" s="6" customFormat="1">
      <c r="A18" s="7" t="s">
        <v>55</v>
      </c>
      <c r="B18" s="7" t="s">
        <v>56</v>
      </c>
      <c r="C18" s="7" t="s">
        <v>63</v>
      </c>
      <c r="D18" s="7" t="s">
        <v>114</v>
      </c>
      <c r="E18" s="7"/>
      <c r="F18" s="7">
        <v>129855</v>
      </c>
      <c r="G18" s="7">
        <v>5841813202</v>
      </c>
      <c r="H18" s="7" t="s">
        <v>60</v>
      </c>
      <c r="I18" s="7" t="s">
        <v>115</v>
      </c>
      <c r="J18" s="7" t="s">
        <v>73</v>
      </c>
      <c r="K18" s="7" t="s">
        <v>67</v>
      </c>
      <c r="L18" s="7" t="s">
        <v>74</v>
      </c>
      <c r="M18" s="7"/>
      <c r="N18" s="7" t="s">
        <v>69</v>
      </c>
      <c r="O18" s="12">
        <f t="shared" si="0"/>
        <v>3000</v>
      </c>
      <c r="P18" s="12">
        <f t="shared" si="1"/>
        <v>3000</v>
      </c>
      <c r="Q18" s="7">
        <v>3</v>
      </c>
      <c r="R18" s="12">
        <f t="shared" si="2"/>
        <v>3000</v>
      </c>
      <c r="S18" s="12">
        <f t="shared" si="3"/>
        <v>3000</v>
      </c>
      <c r="T18" s="7">
        <v>3</v>
      </c>
      <c r="U18" s="12">
        <f t="shared" si="4"/>
        <v>3000</v>
      </c>
      <c r="V18" s="12">
        <f t="shared" si="5"/>
        <v>3000</v>
      </c>
      <c r="W18" s="7">
        <v>3</v>
      </c>
      <c r="X18" s="12">
        <f t="shared" si="6"/>
        <v>3000</v>
      </c>
      <c r="Y18" s="12">
        <f t="shared" si="7"/>
        <v>3000</v>
      </c>
      <c r="Z18" s="7">
        <v>3</v>
      </c>
      <c r="AA18" s="12">
        <f t="shared" si="8"/>
        <v>3000</v>
      </c>
      <c r="AB18" s="12">
        <f t="shared" si="9"/>
        <v>3000</v>
      </c>
      <c r="AC18" s="7">
        <v>3</v>
      </c>
      <c r="AD18" s="12">
        <f t="shared" si="10"/>
        <v>3000</v>
      </c>
      <c r="AE18" s="12">
        <f t="shared" si="11"/>
        <v>3000</v>
      </c>
      <c r="AF18" s="7">
        <v>3</v>
      </c>
      <c r="AG18" s="12">
        <f t="shared" si="12"/>
        <v>3000</v>
      </c>
      <c r="AH18" s="12">
        <f t="shared" si="13"/>
        <v>3000</v>
      </c>
      <c r="AI18" s="7">
        <v>3</v>
      </c>
      <c r="AJ18" s="12">
        <f t="shared" si="14"/>
        <v>3000</v>
      </c>
      <c r="AK18" s="12">
        <f t="shared" si="15"/>
        <v>3000</v>
      </c>
      <c r="AL18" s="7">
        <v>3</v>
      </c>
      <c r="AM18" s="12">
        <f t="shared" si="16"/>
        <v>3000</v>
      </c>
      <c r="AN18" s="12">
        <f t="shared" si="17"/>
        <v>3000</v>
      </c>
      <c r="AO18" s="7">
        <v>3</v>
      </c>
      <c r="AP18" s="12">
        <f t="shared" si="18"/>
        <v>3000</v>
      </c>
      <c r="AQ18" s="12">
        <f t="shared" si="19"/>
        <v>3000</v>
      </c>
      <c r="AR18" s="7">
        <v>3</v>
      </c>
      <c r="AS18" s="12">
        <f t="shared" si="20"/>
        <v>3000</v>
      </c>
      <c r="AT18" s="12">
        <f t="shared" si="21"/>
        <v>3000</v>
      </c>
      <c r="AU18" s="7">
        <v>3</v>
      </c>
      <c r="AV18" s="12">
        <f t="shared" si="22"/>
        <v>3000</v>
      </c>
      <c r="AW18" s="12">
        <f t="shared" si="23"/>
        <v>3000</v>
      </c>
      <c r="AX18" s="7">
        <v>3</v>
      </c>
      <c r="AY18" s="7">
        <v>0</v>
      </c>
      <c r="AZ18" s="12">
        <f t="shared" si="24"/>
        <v>36000</v>
      </c>
      <c r="BA18" s="12">
        <f t="shared" si="24"/>
        <v>36000</v>
      </c>
      <c r="BB18" s="7">
        <v>3</v>
      </c>
    </row>
    <row r="19" spans="1:54" s="4" customFormat="1">
      <c r="A19" s="5" t="s">
        <v>55</v>
      </c>
      <c r="B19" s="5" t="s">
        <v>56</v>
      </c>
      <c r="C19" s="5" t="s">
        <v>116</v>
      </c>
      <c r="D19" s="5" t="s">
        <v>117</v>
      </c>
      <c r="E19" s="5"/>
      <c r="F19" s="5">
        <v>365477</v>
      </c>
      <c r="G19" s="5">
        <v>5841813202</v>
      </c>
      <c r="H19" s="5" t="s">
        <v>60</v>
      </c>
      <c r="I19" s="5" t="s">
        <v>118</v>
      </c>
      <c r="J19" s="5" t="s">
        <v>73</v>
      </c>
      <c r="K19" s="5" t="s">
        <v>67</v>
      </c>
      <c r="L19" s="5" t="s">
        <v>74</v>
      </c>
      <c r="M19" s="5"/>
      <c r="N19" s="5" t="s">
        <v>69</v>
      </c>
      <c r="O19" s="11">
        <f t="shared" si="0"/>
        <v>5000</v>
      </c>
      <c r="P19" s="11">
        <f t="shared" si="1"/>
        <v>5000</v>
      </c>
      <c r="Q19" s="5">
        <v>5</v>
      </c>
      <c r="R19" s="11">
        <f t="shared" si="2"/>
        <v>5000</v>
      </c>
      <c r="S19" s="11">
        <f t="shared" si="3"/>
        <v>5000</v>
      </c>
      <c r="T19" s="5">
        <v>5</v>
      </c>
      <c r="U19" s="11">
        <f t="shared" si="4"/>
        <v>5000</v>
      </c>
      <c r="V19" s="11">
        <f t="shared" si="5"/>
        <v>5000</v>
      </c>
      <c r="W19" s="5">
        <v>5</v>
      </c>
      <c r="X19" s="11">
        <f t="shared" si="6"/>
        <v>5000</v>
      </c>
      <c r="Y19" s="11">
        <f t="shared" si="7"/>
        <v>5000</v>
      </c>
      <c r="Z19" s="5">
        <v>5</v>
      </c>
      <c r="AA19" s="11">
        <f t="shared" si="8"/>
        <v>5000</v>
      </c>
      <c r="AB19" s="11">
        <f t="shared" si="9"/>
        <v>5000</v>
      </c>
      <c r="AC19" s="5">
        <v>5</v>
      </c>
      <c r="AD19" s="11">
        <f t="shared" si="10"/>
        <v>5000</v>
      </c>
      <c r="AE19" s="11">
        <f t="shared" si="11"/>
        <v>5000</v>
      </c>
      <c r="AF19" s="5">
        <v>5</v>
      </c>
      <c r="AG19" s="11">
        <f t="shared" si="12"/>
        <v>5000</v>
      </c>
      <c r="AH19" s="11">
        <f t="shared" si="13"/>
        <v>5000</v>
      </c>
      <c r="AI19" s="5">
        <v>5</v>
      </c>
      <c r="AJ19" s="11">
        <f t="shared" si="14"/>
        <v>5000</v>
      </c>
      <c r="AK19" s="11">
        <f t="shared" si="15"/>
        <v>5000</v>
      </c>
      <c r="AL19" s="5">
        <v>5</v>
      </c>
      <c r="AM19" s="11">
        <f t="shared" si="16"/>
        <v>5000</v>
      </c>
      <c r="AN19" s="11">
        <f t="shared" si="17"/>
        <v>5000</v>
      </c>
      <c r="AO19" s="5">
        <v>5</v>
      </c>
      <c r="AP19" s="11">
        <f t="shared" si="18"/>
        <v>5000</v>
      </c>
      <c r="AQ19" s="11">
        <f t="shared" si="19"/>
        <v>5000</v>
      </c>
      <c r="AR19" s="5">
        <v>5</v>
      </c>
      <c r="AS19" s="11">
        <f t="shared" si="20"/>
        <v>5000</v>
      </c>
      <c r="AT19" s="11">
        <f t="shared" si="21"/>
        <v>5000</v>
      </c>
      <c r="AU19" s="5">
        <v>5</v>
      </c>
      <c r="AV19" s="11">
        <f t="shared" si="22"/>
        <v>5000</v>
      </c>
      <c r="AW19" s="11">
        <f t="shared" si="23"/>
        <v>5000</v>
      </c>
      <c r="AX19" s="5">
        <v>5</v>
      </c>
      <c r="AY19" s="5">
        <v>0</v>
      </c>
      <c r="AZ19" s="11">
        <f t="shared" si="24"/>
        <v>60000</v>
      </c>
      <c r="BA19" s="11">
        <f t="shared" si="24"/>
        <v>60000</v>
      </c>
      <c r="BB19" s="5">
        <v>5</v>
      </c>
    </row>
    <row r="20" spans="1:54" s="6" customFormat="1">
      <c r="A20" s="7" t="s">
        <v>55</v>
      </c>
      <c r="B20" s="7" t="s">
        <v>56</v>
      </c>
      <c r="C20" s="7" t="s">
        <v>119</v>
      </c>
      <c r="D20" s="7" t="s">
        <v>120</v>
      </c>
      <c r="E20" s="7"/>
      <c r="F20" s="7" t="s">
        <v>121</v>
      </c>
      <c r="G20" s="7">
        <v>5841813202</v>
      </c>
      <c r="H20" s="7" t="s">
        <v>60</v>
      </c>
      <c r="I20" s="7" t="s">
        <v>121</v>
      </c>
      <c r="J20" s="7" t="s">
        <v>66</v>
      </c>
      <c r="K20" s="7" t="s">
        <v>67</v>
      </c>
      <c r="L20" s="7" t="s">
        <v>74</v>
      </c>
      <c r="M20" s="7"/>
      <c r="N20" s="7" t="s">
        <v>69</v>
      </c>
      <c r="O20" s="12">
        <f t="shared" si="0"/>
        <v>4000</v>
      </c>
      <c r="P20" s="12">
        <f t="shared" si="1"/>
        <v>4000</v>
      </c>
      <c r="Q20" s="7">
        <v>4</v>
      </c>
      <c r="R20" s="12">
        <f t="shared" si="2"/>
        <v>4000</v>
      </c>
      <c r="S20" s="12">
        <f t="shared" si="3"/>
        <v>4000</v>
      </c>
      <c r="T20" s="7">
        <v>4</v>
      </c>
      <c r="U20" s="12">
        <f t="shared" si="4"/>
        <v>4000</v>
      </c>
      <c r="V20" s="12">
        <f t="shared" si="5"/>
        <v>4000</v>
      </c>
      <c r="W20" s="7">
        <v>4</v>
      </c>
      <c r="X20" s="12">
        <f t="shared" si="6"/>
        <v>4000</v>
      </c>
      <c r="Y20" s="12">
        <f t="shared" si="7"/>
        <v>4000</v>
      </c>
      <c r="Z20" s="7">
        <v>4</v>
      </c>
      <c r="AA20" s="12">
        <f t="shared" si="8"/>
        <v>4000</v>
      </c>
      <c r="AB20" s="12">
        <f t="shared" si="9"/>
        <v>4000</v>
      </c>
      <c r="AC20" s="7">
        <v>4</v>
      </c>
      <c r="AD20" s="12">
        <f t="shared" si="10"/>
        <v>4000</v>
      </c>
      <c r="AE20" s="12">
        <f t="shared" si="11"/>
        <v>4000</v>
      </c>
      <c r="AF20" s="7">
        <v>4</v>
      </c>
      <c r="AG20" s="12">
        <f t="shared" si="12"/>
        <v>4000</v>
      </c>
      <c r="AH20" s="12">
        <f t="shared" si="13"/>
        <v>4000</v>
      </c>
      <c r="AI20" s="7">
        <v>4</v>
      </c>
      <c r="AJ20" s="12">
        <f t="shared" si="14"/>
        <v>4000</v>
      </c>
      <c r="AK20" s="12">
        <f t="shared" si="15"/>
        <v>4000</v>
      </c>
      <c r="AL20" s="7">
        <v>4</v>
      </c>
      <c r="AM20" s="12">
        <f t="shared" si="16"/>
        <v>4000</v>
      </c>
      <c r="AN20" s="12">
        <f t="shared" si="17"/>
        <v>4000</v>
      </c>
      <c r="AO20" s="7">
        <v>4</v>
      </c>
      <c r="AP20" s="12">
        <f t="shared" si="18"/>
        <v>4000</v>
      </c>
      <c r="AQ20" s="12">
        <f t="shared" si="19"/>
        <v>4000</v>
      </c>
      <c r="AR20" s="7">
        <v>4</v>
      </c>
      <c r="AS20" s="12">
        <f t="shared" si="20"/>
        <v>4000</v>
      </c>
      <c r="AT20" s="12">
        <f t="shared" si="21"/>
        <v>4000</v>
      </c>
      <c r="AU20" s="7">
        <v>4</v>
      </c>
      <c r="AV20" s="12">
        <f t="shared" si="22"/>
        <v>4000</v>
      </c>
      <c r="AW20" s="12">
        <f t="shared" si="23"/>
        <v>4000</v>
      </c>
      <c r="AX20" s="7">
        <v>4</v>
      </c>
      <c r="AY20" s="7">
        <v>0</v>
      </c>
      <c r="AZ20" s="12">
        <f t="shared" si="24"/>
        <v>48000</v>
      </c>
      <c r="BA20" s="12">
        <f t="shared" si="24"/>
        <v>48000</v>
      </c>
      <c r="BB20" s="7">
        <v>4</v>
      </c>
    </row>
    <row r="21" spans="1:54" s="4" customFormat="1">
      <c r="A21" s="5" t="s">
        <v>55</v>
      </c>
      <c r="B21" s="5" t="s">
        <v>56</v>
      </c>
      <c r="C21" s="5" t="s">
        <v>75</v>
      </c>
      <c r="D21" s="5" t="s">
        <v>122</v>
      </c>
      <c r="E21" s="5"/>
      <c r="F21" s="5">
        <v>38617005</v>
      </c>
      <c r="G21" s="5">
        <v>5841843202</v>
      </c>
      <c r="H21" s="5" t="s">
        <v>60</v>
      </c>
      <c r="I21" s="5" t="s">
        <v>123</v>
      </c>
      <c r="J21" s="5" t="s">
        <v>73</v>
      </c>
      <c r="K21" s="5" t="s">
        <v>79</v>
      </c>
      <c r="L21" s="5" t="s">
        <v>74</v>
      </c>
      <c r="M21" s="5"/>
      <c r="N21" s="5" t="s">
        <v>69</v>
      </c>
      <c r="O21" s="11">
        <f t="shared" si="0"/>
        <v>3000</v>
      </c>
      <c r="P21" s="11">
        <f t="shared" si="1"/>
        <v>3000</v>
      </c>
      <c r="Q21" s="5">
        <v>3</v>
      </c>
      <c r="R21" s="11">
        <f t="shared" si="2"/>
        <v>3000</v>
      </c>
      <c r="S21" s="11">
        <f t="shared" si="3"/>
        <v>3000</v>
      </c>
      <c r="T21" s="5">
        <v>3</v>
      </c>
      <c r="U21" s="11">
        <f t="shared" si="4"/>
        <v>3000</v>
      </c>
      <c r="V21" s="11">
        <f t="shared" si="5"/>
        <v>3000</v>
      </c>
      <c r="W21" s="5">
        <v>3</v>
      </c>
      <c r="X21" s="11">
        <f t="shared" si="6"/>
        <v>0</v>
      </c>
      <c r="Y21" s="11">
        <f t="shared" si="7"/>
        <v>0</v>
      </c>
      <c r="Z21" s="5">
        <v>0</v>
      </c>
      <c r="AA21" s="11">
        <f t="shared" si="8"/>
        <v>0</v>
      </c>
      <c r="AB21" s="11">
        <f t="shared" si="9"/>
        <v>0</v>
      </c>
      <c r="AC21" s="5">
        <v>0</v>
      </c>
      <c r="AD21" s="11">
        <f t="shared" si="10"/>
        <v>0</v>
      </c>
      <c r="AE21" s="11">
        <f t="shared" si="11"/>
        <v>0</v>
      </c>
      <c r="AF21" s="5">
        <v>0</v>
      </c>
      <c r="AG21" s="11">
        <f t="shared" si="12"/>
        <v>0</v>
      </c>
      <c r="AH21" s="11">
        <f t="shared" si="13"/>
        <v>0</v>
      </c>
      <c r="AI21" s="5">
        <v>0</v>
      </c>
      <c r="AJ21" s="11">
        <f t="shared" si="14"/>
        <v>0</v>
      </c>
      <c r="AK21" s="11">
        <f t="shared" si="15"/>
        <v>0</v>
      </c>
      <c r="AL21" s="5">
        <v>0</v>
      </c>
      <c r="AM21" s="11">
        <f t="shared" si="16"/>
        <v>0</v>
      </c>
      <c r="AN21" s="11">
        <f t="shared" si="17"/>
        <v>0</v>
      </c>
      <c r="AO21" s="5">
        <v>0</v>
      </c>
      <c r="AP21" s="11">
        <f t="shared" si="18"/>
        <v>0</v>
      </c>
      <c r="AQ21" s="11">
        <f t="shared" si="19"/>
        <v>0</v>
      </c>
      <c r="AR21" s="5">
        <v>0</v>
      </c>
      <c r="AS21" s="11">
        <f t="shared" si="20"/>
        <v>0</v>
      </c>
      <c r="AT21" s="11">
        <f t="shared" si="21"/>
        <v>0</v>
      </c>
      <c r="AU21" s="5">
        <v>0</v>
      </c>
      <c r="AV21" s="11">
        <f t="shared" si="22"/>
        <v>0</v>
      </c>
      <c r="AW21" s="11">
        <f t="shared" si="23"/>
        <v>0</v>
      </c>
      <c r="AX21" s="5">
        <v>0</v>
      </c>
      <c r="AY21" s="5">
        <v>0</v>
      </c>
      <c r="AZ21" s="11">
        <f t="shared" si="24"/>
        <v>9000</v>
      </c>
      <c r="BA21" s="11">
        <f t="shared" si="24"/>
        <v>9000</v>
      </c>
      <c r="BB21" s="5">
        <v>0.8</v>
      </c>
    </row>
    <row r="22" spans="1:54" s="6" customFormat="1">
      <c r="A22" s="7"/>
      <c r="B22" s="7"/>
      <c r="C22" s="7"/>
      <c r="D22" s="7"/>
      <c r="E22" s="7"/>
      <c r="F22" s="7"/>
      <c r="G22" s="7"/>
      <c r="H22" s="7" t="s">
        <v>124</v>
      </c>
      <c r="I22" s="7"/>
      <c r="J22" s="7"/>
      <c r="K22" s="7"/>
      <c r="L22" s="7"/>
      <c r="M22" s="7"/>
      <c r="N22" s="7"/>
      <c r="O22" s="12">
        <v>90545</v>
      </c>
      <c r="P22" s="12">
        <v>87178</v>
      </c>
      <c r="Q22" s="7">
        <v>91</v>
      </c>
      <c r="R22" s="12">
        <v>90545</v>
      </c>
      <c r="S22" s="12">
        <v>87178</v>
      </c>
      <c r="T22" s="7">
        <v>91</v>
      </c>
      <c r="U22" s="12">
        <v>90545</v>
      </c>
      <c r="V22" s="12">
        <v>87178</v>
      </c>
      <c r="W22" s="7">
        <v>91</v>
      </c>
      <c r="X22" s="12">
        <v>87560</v>
      </c>
      <c r="Y22" s="12">
        <v>84304</v>
      </c>
      <c r="Z22" s="7">
        <v>88</v>
      </c>
      <c r="AA22" s="12">
        <v>87560</v>
      </c>
      <c r="AB22" s="12">
        <v>84304</v>
      </c>
      <c r="AC22" s="7">
        <v>88</v>
      </c>
      <c r="AD22" s="12">
        <v>87560</v>
      </c>
      <c r="AE22" s="12">
        <v>84304</v>
      </c>
      <c r="AF22" s="7">
        <v>88</v>
      </c>
      <c r="AG22" s="12">
        <v>87560</v>
      </c>
      <c r="AH22" s="12">
        <v>84304</v>
      </c>
      <c r="AI22" s="7">
        <v>88</v>
      </c>
      <c r="AJ22" s="12">
        <v>87560</v>
      </c>
      <c r="AK22" s="12">
        <v>84304</v>
      </c>
      <c r="AL22" s="7">
        <v>88</v>
      </c>
      <c r="AM22" s="12">
        <v>87560</v>
      </c>
      <c r="AN22" s="12">
        <v>84304</v>
      </c>
      <c r="AO22" s="7">
        <v>88</v>
      </c>
      <c r="AP22" s="12">
        <v>87560</v>
      </c>
      <c r="AQ22" s="12">
        <v>84304</v>
      </c>
      <c r="AR22" s="7">
        <v>88</v>
      </c>
      <c r="AS22" s="12">
        <v>87560</v>
      </c>
      <c r="AT22" s="12">
        <v>84304</v>
      </c>
      <c r="AU22" s="7">
        <v>88</v>
      </c>
      <c r="AV22" s="12">
        <v>87560</v>
      </c>
      <c r="AW22" s="12">
        <v>84304</v>
      </c>
      <c r="AX22" s="7">
        <v>88</v>
      </c>
      <c r="AY22" s="7">
        <v>0</v>
      </c>
      <c r="AZ22" s="12">
        <v>1059675</v>
      </c>
      <c r="BA22" s="12">
        <v>1020270</v>
      </c>
      <c r="BB22" s="7">
        <v>88.8</v>
      </c>
    </row>
    <row r="23" spans="1:54" s="4" customFormat="1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11"/>
      <c r="P23" s="11"/>
      <c r="Q23" s="5"/>
      <c r="R23" s="11"/>
      <c r="S23" s="11"/>
      <c r="T23" s="5"/>
      <c r="U23" s="11"/>
      <c r="V23" s="11"/>
      <c r="W23" s="5"/>
      <c r="X23" s="11"/>
      <c r="Y23" s="11"/>
      <c r="Z23" s="5"/>
      <c r="AA23" s="11"/>
      <c r="AB23" s="11"/>
      <c r="AC23" s="5"/>
      <c r="AD23" s="11"/>
      <c r="AE23" s="11"/>
      <c r="AF23" s="5"/>
      <c r="AG23" s="11"/>
      <c r="AH23" s="11"/>
      <c r="AI23" s="5"/>
      <c r="AJ23" s="11"/>
      <c r="AK23" s="11"/>
      <c r="AL23" s="5"/>
      <c r="AM23" s="11"/>
      <c r="AN23" s="11"/>
      <c r="AO23" s="5"/>
      <c r="AP23" s="11"/>
      <c r="AQ23" s="11"/>
      <c r="AR23" s="5"/>
      <c r="AS23" s="11"/>
      <c r="AT23" s="11"/>
      <c r="AU23" s="5"/>
      <c r="AV23" s="11"/>
      <c r="AW23" s="11"/>
      <c r="AX23" s="5"/>
      <c r="AY23" s="5"/>
      <c r="AZ23" s="11"/>
      <c r="BA23" s="11"/>
      <c r="BB23" s="5"/>
    </row>
    <row r="24" spans="1:54" s="6" customFormat="1">
      <c r="A24" s="7" t="s">
        <v>55</v>
      </c>
      <c r="B24" s="7" t="s">
        <v>56</v>
      </c>
      <c r="C24" s="7" t="s">
        <v>63</v>
      </c>
      <c r="D24" s="7" t="s">
        <v>64</v>
      </c>
      <c r="E24" s="7"/>
      <c r="F24" s="7" t="s">
        <v>65</v>
      </c>
      <c r="G24" s="7">
        <v>5841813202</v>
      </c>
      <c r="H24" s="7" t="s">
        <v>60</v>
      </c>
      <c r="I24" s="7" t="s">
        <v>65</v>
      </c>
      <c r="J24" s="7" t="s">
        <v>66</v>
      </c>
      <c r="K24" s="7" t="s">
        <v>67</v>
      </c>
      <c r="L24" s="7" t="s">
        <v>68</v>
      </c>
      <c r="M24" s="7"/>
      <c r="N24" s="7" t="s">
        <v>69</v>
      </c>
      <c r="O24" s="12">
        <f>Q24*1000</f>
        <v>3000</v>
      </c>
      <c r="P24" s="12">
        <f>Q24*1000</f>
        <v>3000</v>
      </c>
      <c r="Q24" s="7">
        <v>3</v>
      </c>
      <c r="R24" s="12">
        <f>T24*1000</f>
        <v>3000</v>
      </c>
      <c r="S24" s="12">
        <f>T24*1000</f>
        <v>3000</v>
      </c>
      <c r="T24" s="7">
        <v>3</v>
      </c>
      <c r="U24" s="12">
        <f>W24*1000</f>
        <v>3000</v>
      </c>
      <c r="V24" s="12">
        <f>W24*1000</f>
        <v>3000</v>
      </c>
      <c r="W24" s="7">
        <v>3</v>
      </c>
      <c r="X24" s="12">
        <f>Z24*1000</f>
        <v>3000</v>
      </c>
      <c r="Y24" s="12">
        <f>Z24*1000</f>
        <v>3000</v>
      </c>
      <c r="Z24" s="7">
        <v>3</v>
      </c>
      <c r="AA24" s="12">
        <f>AC24*1000</f>
        <v>3000</v>
      </c>
      <c r="AB24" s="12">
        <f>AC24*1000</f>
        <v>3000</v>
      </c>
      <c r="AC24" s="7">
        <v>3</v>
      </c>
      <c r="AD24" s="12">
        <f>AF24*1000</f>
        <v>3000</v>
      </c>
      <c r="AE24" s="12">
        <f>AF24*1000</f>
        <v>3000</v>
      </c>
      <c r="AF24" s="7">
        <v>3</v>
      </c>
      <c r="AG24" s="12">
        <f>AI24*1000</f>
        <v>3000</v>
      </c>
      <c r="AH24" s="12">
        <f>AI24*1000</f>
        <v>3000</v>
      </c>
      <c r="AI24" s="7">
        <v>3</v>
      </c>
      <c r="AJ24" s="12">
        <f>AL24*1000</f>
        <v>3000</v>
      </c>
      <c r="AK24" s="12">
        <f>AL24*1000</f>
        <v>3000</v>
      </c>
      <c r="AL24" s="7">
        <v>3</v>
      </c>
      <c r="AM24" s="12">
        <f>AO24*1000</f>
        <v>3000</v>
      </c>
      <c r="AN24" s="12">
        <f>AO24*1000</f>
        <v>3000</v>
      </c>
      <c r="AO24" s="7">
        <v>3</v>
      </c>
      <c r="AP24" s="12">
        <f>AR24*1000</f>
        <v>3000</v>
      </c>
      <c r="AQ24" s="12">
        <f>AR24*1000</f>
        <v>3000</v>
      </c>
      <c r="AR24" s="7">
        <v>3</v>
      </c>
      <c r="AS24" s="12">
        <f>AU24*1000</f>
        <v>3000</v>
      </c>
      <c r="AT24" s="12">
        <f>AU24*1000</f>
        <v>3000</v>
      </c>
      <c r="AU24" s="7">
        <v>3</v>
      </c>
      <c r="AV24" s="12">
        <f>AX24*1000</f>
        <v>3000</v>
      </c>
      <c r="AW24" s="12">
        <f>AX24*1000</f>
        <v>3000</v>
      </c>
      <c r="AX24" s="7">
        <v>3</v>
      </c>
      <c r="AY24" s="7">
        <v>0</v>
      </c>
      <c r="AZ24" s="12">
        <f>SUM(O24,R24,U24,X24,AA24,AD24,AG24,AJ24,AM24,AP24,AS24,AV24)</f>
        <v>36000</v>
      </c>
      <c r="BA24" s="12">
        <f>SUM(P24,S24,V24,Y24,AB24,AE24,AH24,AK24,AN24,AQ24,AT24,AW24)</f>
        <v>36000</v>
      </c>
      <c r="BB24" s="7">
        <v>3</v>
      </c>
    </row>
    <row r="25" spans="1:54" s="4" customFormat="1">
      <c r="A25" s="5" t="s">
        <v>55</v>
      </c>
      <c r="B25" s="5" t="s">
        <v>56</v>
      </c>
      <c r="C25" s="5" t="s">
        <v>105</v>
      </c>
      <c r="D25" s="5" t="s">
        <v>106</v>
      </c>
      <c r="E25" s="5"/>
      <c r="F25" s="5" t="s">
        <v>107</v>
      </c>
      <c r="G25" s="5">
        <v>5842263202</v>
      </c>
      <c r="H25" s="5" t="s">
        <v>60</v>
      </c>
      <c r="I25" s="5" t="s">
        <v>107</v>
      </c>
      <c r="J25" s="5" t="s">
        <v>66</v>
      </c>
      <c r="K25" s="5" t="s">
        <v>79</v>
      </c>
      <c r="L25" s="5" t="s">
        <v>74</v>
      </c>
      <c r="M25" s="5"/>
      <c r="N25" s="5" t="s">
        <v>69</v>
      </c>
      <c r="O25" s="11">
        <f>Q25*1000</f>
        <v>5000</v>
      </c>
      <c r="P25" s="11">
        <f>Q25*1000</f>
        <v>5000</v>
      </c>
      <c r="Q25" s="5">
        <v>5</v>
      </c>
      <c r="R25" s="11">
        <f>T25*1000</f>
        <v>5000</v>
      </c>
      <c r="S25" s="11">
        <f>T25*1000</f>
        <v>5000</v>
      </c>
      <c r="T25" s="5">
        <v>5</v>
      </c>
      <c r="U25" s="11">
        <f>W25*1000</f>
        <v>5000</v>
      </c>
      <c r="V25" s="11">
        <f>W25*1000</f>
        <v>5000</v>
      </c>
      <c r="W25" s="5">
        <v>5</v>
      </c>
      <c r="X25" s="11">
        <f>Z25*1000</f>
        <v>5000</v>
      </c>
      <c r="Y25" s="11">
        <f>Z25*1000</f>
        <v>5000</v>
      </c>
      <c r="Z25" s="5">
        <v>5</v>
      </c>
      <c r="AA25" s="11">
        <f>AC25*1000</f>
        <v>5000</v>
      </c>
      <c r="AB25" s="11">
        <f>AC25*1000</f>
        <v>5000</v>
      </c>
      <c r="AC25" s="5">
        <v>5</v>
      </c>
      <c r="AD25" s="11">
        <f>AF25*1000</f>
        <v>5000</v>
      </c>
      <c r="AE25" s="11">
        <f>AF25*1000</f>
        <v>5000</v>
      </c>
      <c r="AF25" s="5">
        <v>5</v>
      </c>
      <c r="AG25" s="11">
        <f>AI25*1000</f>
        <v>5000</v>
      </c>
      <c r="AH25" s="11">
        <f>AI25*1000</f>
        <v>5000</v>
      </c>
      <c r="AI25" s="5">
        <v>5</v>
      </c>
      <c r="AJ25" s="11">
        <f>AL25*1000</f>
        <v>5000</v>
      </c>
      <c r="AK25" s="11">
        <f>AL25*1000</f>
        <v>5000</v>
      </c>
      <c r="AL25" s="5">
        <v>5</v>
      </c>
      <c r="AM25" s="11">
        <f>AO25*1000</f>
        <v>5000</v>
      </c>
      <c r="AN25" s="11">
        <f>AO25*1000</f>
        <v>5000</v>
      </c>
      <c r="AO25" s="5">
        <v>5</v>
      </c>
      <c r="AP25" s="11">
        <f>AR25*1000</f>
        <v>5000</v>
      </c>
      <c r="AQ25" s="11">
        <f>AR25*1000</f>
        <v>5000</v>
      </c>
      <c r="AR25" s="5">
        <v>5</v>
      </c>
      <c r="AS25" s="11">
        <f>AU25*1000</f>
        <v>5000</v>
      </c>
      <c r="AT25" s="11">
        <f>AU25*1000</f>
        <v>5000</v>
      </c>
      <c r="AU25" s="5">
        <v>5</v>
      </c>
      <c r="AV25" s="11">
        <f>AX25*1000</f>
        <v>5000</v>
      </c>
      <c r="AW25" s="11">
        <f>AX25*1000</f>
        <v>5000</v>
      </c>
      <c r="AX25" s="5">
        <v>5</v>
      </c>
      <c r="AY25" s="5">
        <v>0</v>
      </c>
      <c r="AZ25" s="11">
        <f>SUM(O25,R25,U25,X25,AA25,AD25,AG25,AJ25,AM25,AP25,AS25,AV25)</f>
        <v>60000</v>
      </c>
      <c r="BA25" s="11">
        <f>SUM(P25,S25,V25,Y25,AB25,AE25,AH25,AK25,AN25,AQ25,AT25,AW25)</f>
        <v>60000</v>
      </c>
      <c r="BB25" s="5">
        <v>5</v>
      </c>
    </row>
    <row r="26" spans="1:54" s="6" customFormat="1">
      <c r="A26" s="7"/>
      <c r="B26" s="7"/>
      <c r="C26" s="7"/>
      <c r="D26" s="7"/>
      <c r="E26" s="7"/>
      <c r="F26" s="7"/>
      <c r="G26" s="7"/>
      <c r="H26" s="7" t="s">
        <v>124</v>
      </c>
      <c r="I26" s="7"/>
      <c r="J26" s="7"/>
      <c r="K26" s="7"/>
      <c r="L26" s="7"/>
      <c r="M26" s="7"/>
      <c r="N26" s="7"/>
      <c r="O26" s="12">
        <v>7960</v>
      </c>
      <c r="P26" s="12">
        <v>7664</v>
      </c>
      <c r="Q26" s="7">
        <v>8</v>
      </c>
      <c r="R26" s="12">
        <v>7960</v>
      </c>
      <c r="S26" s="12">
        <v>7664</v>
      </c>
      <c r="T26" s="7">
        <v>8</v>
      </c>
      <c r="U26" s="12">
        <v>7960</v>
      </c>
      <c r="V26" s="12">
        <v>7664</v>
      </c>
      <c r="W26" s="7">
        <v>8</v>
      </c>
      <c r="X26" s="12">
        <v>7960</v>
      </c>
      <c r="Y26" s="12">
        <v>7664</v>
      </c>
      <c r="Z26" s="7">
        <v>8</v>
      </c>
      <c r="AA26" s="12">
        <v>7960</v>
      </c>
      <c r="AB26" s="12">
        <v>7664</v>
      </c>
      <c r="AC26" s="7">
        <v>8</v>
      </c>
      <c r="AD26" s="12">
        <v>7960</v>
      </c>
      <c r="AE26" s="12">
        <v>7664</v>
      </c>
      <c r="AF26" s="7">
        <v>8</v>
      </c>
      <c r="AG26" s="12">
        <v>7960</v>
      </c>
      <c r="AH26" s="12">
        <v>7664</v>
      </c>
      <c r="AI26" s="7">
        <v>8</v>
      </c>
      <c r="AJ26" s="12">
        <v>7960</v>
      </c>
      <c r="AK26" s="12">
        <v>7664</v>
      </c>
      <c r="AL26" s="7">
        <v>8</v>
      </c>
      <c r="AM26" s="12">
        <v>7960</v>
      </c>
      <c r="AN26" s="12">
        <v>7664</v>
      </c>
      <c r="AO26" s="7">
        <v>8</v>
      </c>
      <c r="AP26" s="12">
        <v>7960</v>
      </c>
      <c r="AQ26" s="12">
        <v>7664</v>
      </c>
      <c r="AR26" s="7">
        <v>8</v>
      </c>
      <c r="AS26" s="12">
        <v>7960</v>
      </c>
      <c r="AT26" s="12">
        <v>7664</v>
      </c>
      <c r="AU26" s="7">
        <v>8</v>
      </c>
      <c r="AV26" s="12">
        <v>7960</v>
      </c>
      <c r="AW26" s="12">
        <v>7664</v>
      </c>
      <c r="AX26" s="7">
        <v>8</v>
      </c>
      <c r="AY26" s="7">
        <v>0</v>
      </c>
      <c r="AZ26" s="12">
        <v>95520</v>
      </c>
      <c r="BA26" s="12">
        <v>91968</v>
      </c>
      <c r="BB26" s="7">
        <v>8</v>
      </c>
    </row>
    <row r="27" spans="1:54" s="4" customFormat="1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11"/>
      <c r="P27" s="11"/>
      <c r="Q27" s="5"/>
      <c r="R27" s="11"/>
      <c r="S27" s="11"/>
      <c r="T27" s="5"/>
      <c r="U27" s="11"/>
      <c r="V27" s="11"/>
      <c r="W27" s="5"/>
      <c r="X27" s="11"/>
      <c r="Y27" s="11"/>
      <c r="Z27" s="5"/>
      <c r="AA27" s="11"/>
      <c r="AB27" s="11"/>
      <c r="AC27" s="5"/>
      <c r="AD27" s="11"/>
      <c r="AE27" s="11"/>
      <c r="AF27" s="5"/>
      <c r="AG27" s="11"/>
      <c r="AH27" s="11"/>
      <c r="AI27" s="5"/>
      <c r="AJ27" s="11"/>
      <c r="AK27" s="11"/>
      <c r="AL27" s="5"/>
      <c r="AM27" s="11"/>
      <c r="AN27" s="11"/>
      <c r="AO27" s="5"/>
      <c r="AP27" s="11"/>
      <c r="AQ27" s="11"/>
      <c r="AR27" s="5"/>
      <c r="AS27" s="11"/>
      <c r="AT27" s="11"/>
      <c r="AU27" s="5"/>
      <c r="AV27" s="11"/>
      <c r="AW27" s="11"/>
      <c r="AX27" s="5"/>
      <c r="AY27" s="5"/>
      <c r="AZ27" s="11"/>
      <c r="BA27" s="11"/>
      <c r="BB27" s="5"/>
    </row>
    <row r="28" spans="1:54" s="6" customFormat="1">
      <c r="A28" s="7" t="s">
        <v>55</v>
      </c>
      <c r="B28" s="7" t="s">
        <v>56</v>
      </c>
      <c r="C28" s="7" t="s">
        <v>63</v>
      </c>
      <c r="D28" s="7" t="s">
        <v>112</v>
      </c>
      <c r="E28" s="7"/>
      <c r="F28" s="7" t="s">
        <v>113</v>
      </c>
      <c r="G28" s="7">
        <v>5841813202</v>
      </c>
      <c r="H28" s="7" t="s">
        <v>60</v>
      </c>
      <c r="I28" s="7" t="s">
        <v>113</v>
      </c>
      <c r="J28" s="7" t="s">
        <v>66</v>
      </c>
      <c r="K28" s="7" t="s">
        <v>67</v>
      </c>
      <c r="L28" s="7" t="s">
        <v>68</v>
      </c>
      <c r="M28" s="7"/>
      <c r="N28" s="7" t="s">
        <v>69</v>
      </c>
      <c r="O28" s="12">
        <f>Q28*1000</f>
        <v>3000</v>
      </c>
      <c r="P28" s="12">
        <f>Q28*1000</f>
        <v>3000</v>
      </c>
      <c r="Q28" s="7">
        <v>3</v>
      </c>
      <c r="R28" s="12">
        <f>T28*1000</f>
        <v>3000</v>
      </c>
      <c r="S28" s="12">
        <f>T28*1000</f>
        <v>3000</v>
      </c>
      <c r="T28" s="7">
        <v>3</v>
      </c>
      <c r="U28" s="12">
        <f>W28*1000</f>
        <v>3000</v>
      </c>
      <c r="V28" s="12">
        <f>W28*1000</f>
        <v>3000</v>
      </c>
      <c r="W28" s="7">
        <v>3</v>
      </c>
      <c r="X28" s="12">
        <f>Z28*1000</f>
        <v>3000</v>
      </c>
      <c r="Y28" s="12">
        <f>Z28*1000</f>
        <v>3000</v>
      </c>
      <c r="Z28" s="7">
        <v>3</v>
      </c>
      <c r="AA28" s="12">
        <f>AC28*1000</f>
        <v>3000</v>
      </c>
      <c r="AB28" s="12">
        <f>AC28*1000</f>
        <v>3000</v>
      </c>
      <c r="AC28" s="7">
        <v>3</v>
      </c>
      <c r="AD28" s="12">
        <f>AF28*1000</f>
        <v>3000</v>
      </c>
      <c r="AE28" s="12">
        <f>AF28*1000</f>
        <v>3000</v>
      </c>
      <c r="AF28" s="7">
        <v>3</v>
      </c>
      <c r="AG28" s="12">
        <f>AI28*1000</f>
        <v>3000</v>
      </c>
      <c r="AH28" s="12">
        <f>AI28*1000</f>
        <v>3000</v>
      </c>
      <c r="AI28" s="7">
        <v>3</v>
      </c>
      <c r="AJ28" s="12">
        <f>AL28*1000</f>
        <v>3000</v>
      </c>
      <c r="AK28" s="12">
        <f>AL28*1000</f>
        <v>3000</v>
      </c>
      <c r="AL28" s="7">
        <v>3</v>
      </c>
      <c r="AM28" s="12">
        <f>AO28*1000</f>
        <v>3000</v>
      </c>
      <c r="AN28" s="12">
        <f>AO28*1000</f>
        <v>3000</v>
      </c>
      <c r="AO28" s="7">
        <v>3</v>
      </c>
      <c r="AP28" s="12">
        <f>AR28*1000</f>
        <v>3000</v>
      </c>
      <c r="AQ28" s="12">
        <f>AR28*1000</f>
        <v>3000</v>
      </c>
      <c r="AR28" s="7">
        <v>3</v>
      </c>
      <c r="AS28" s="12">
        <f>AU28*1000</f>
        <v>3000</v>
      </c>
      <c r="AT28" s="12">
        <f>AU28*1000</f>
        <v>3000</v>
      </c>
      <c r="AU28" s="7">
        <v>3</v>
      </c>
      <c r="AV28" s="12">
        <f>AX28*1000</f>
        <v>3000</v>
      </c>
      <c r="AW28" s="12">
        <f>AX28*1000</f>
        <v>3000</v>
      </c>
      <c r="AX28" s="7">
        <v>3</v>
      </c>
      <c r="AY28" s="7">
        <v>0</v>
      </c>
      <c r="AZ28" s="12">
        <f>SUM(O28,R28,U28,X28,AA28,AD28,AG28,AJ28,AM28,AP28,AS28,AV28)</f>
        <v>36000</v>
      </c>
      <c r="BA28" s="12">
        <f>SUM(P28,S28,V28,Y28,AB28,AE28,AH28,AK28,AN28,AQ28,AT28,AW28)</f>
        <v>36000</v>
      </c>
      <c r="BB28" s="7">
        <v>3</v>
      </c>
    </row>
    <row r="29" spans="1:54" s="4" customFormat="1">
      <c r="A29" s="5"/>
      <c r="B29" s="5"/>
      <c r="C29" s="5"/>
      <c r="D29" s="5"/>
      <c r="E29" s="5"/>
      <c r="F29" s="5"/>
      <c r="G29" s="5"/>
      <c r="H29" s="5" t="s">
        <v>124</v>
      </c>
      <c r="I29" s="5"/>
      <c r="J29" s="5"/>
      <c r="K29" s="5"/>
      <c r="L29" s="5"/>
      <c r="M29" s="5"/>
      <c r="N29" s="5"/>
      <c r="O29" s="11">
        <v>2985</v>
      </c>
      <c r="P29" s="11">
        <v>2874</v>
      </c>
      <c r="Q29" s="5">
        <v>3</v>
      </c>
      <c r="R29" s="11">
        <v>2985</v>
      </c>
      <c r="S29" s="11">
        <v>2874</v>
      </c>
      <c r="T29" s="5">
        <v>3</v>
      </c>
      <c r="U29" s="11">
        <v>2985</v>
      </c>
      <c r="V29" s="11">
        <v>2874</v>
      </c>
      <c r="W29" s="5">
        <v>3</v>
      </c>
      <c r="X29" s="11">
        <v>2985</v>
      </c>
      <c r="Y29" s="11">
        <v>2874</v>
      </c>
      <c r="Z29" s="5">
        <v>3</v>
      </c>
      <c r="AA29" s="11">
        <v>2985</v>
      </c>
      <c r="AB29" s="11">
        <v>2874</v>
      </c>
      <c r="AC29" s="5">
        <v>3</v>
      </c>
      <c r="AD29" s="11">
        <v>2985</v>
      </c>
      <c r="AE29" s="11">
        <v>2874</v>
      </c>
      <c r="AF29" s="5">
        <v>3</v>
      </c>
      <c r="AG29" s="11">
        <v>2985</v>
      </c>
      <c r="AH29" s="11">
        <v>2874</v>
      </c>
      <c r="AI29" s="5">
        <v>3</v>
      </c>
      <c r="AJ29" s="11">
        <v>2985</v>
      </c>
      <c r="AK29" s="11">
        <v>2874</v>
      </c>
      <c r="AL29" s="5">
        <v>3</v>
      </c>
      <c r="AM29" s="11">
        <v>2985</v>
      </c>
      <c r="AN29" s="11">
        <v>2874</v>
      </c>
      <c r="AO29" s="5">
        <v>3</v>
      </c>
      <c r="AP29" s="11">
        <v>2985</v>
      </c>
      <c r="AQ29" s="11">
        <v>2874</v>
      </c>
      <c r="AR29" s="5">
        <v>3</v>
      </c>
      <c r="AS29" s="11">
        <v>2985</v>
      </c>
      <c r="AT29" s="11">
        <v>2874</v>
      </c>
      <c r="AU29" s="5">
        <v>3</v>
      </c>
      <c r="AV29" s="11">
        <v>2985</v>
      </c>
      <c r="AW29" s="11">
        <v>2874</v>
      </c>
      <c r="AX29" s="5">
        <v>3</v>
      </c>
      <c r="AY29" s="5">
        <v>0</v>
      </c>
      <c r="AZ29" s="11">
        <v>35820</v>
      </c>
      <c r="BA29" s="11">
        <v>34488</v>
      </c>
      <c r="BB29" s="5">
        <v>3</v>
      </c>
    </row>
    <row r="31" spans="1:54"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</row>
    <row r="33" spans="15:54"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</row>
  </sheetData>
  <mergeCells count="1">
    <mergeCell ref="A1:BC1"/>
  </mergeCells>
  <phoneticPr fontId="25" type="noConversion"/>
  <pageMargins left="0.75" right="0.75" top="1" bottom="1" header="0.5" footer="0.5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BGT(系统导出)</vt:lpstr>
      <vt:lpstr>CostCenterGroupBySumResult</vt:lpstr>
      <vt:lpstr>BGT(手动修改)</vt:lpstr>
      <vt:lpstr>提供的原始表</vt:lpstr>
      <vt:lpstr>返回的报表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Feng, Tracy</dc:creator>
  <cp:lastModifiedBy>kailing shen</cp:lastModifiedBy>
  <dcterms:created xsi:type="dcterms:W3CDTF">2026-04-07T04:02:39Z</dcterms:created>
  <dcterms:modified xsi:type="dcterms:W3CDTF">2026-06-02T01:10:18Z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1f34ead-50a3-4950-8a39-fca3a33c48cb_Enabled">
    <vt:lpwstr>true</vt:lpwstr>
  </property>
  <property fmtid="{D5CDD505-2E9C-101B-9397-08002B2CF9AE}" pid="3" name="MSIP_Label_b1f34ead-50a3-4950-8a39-fca3a33c48cb_SetDate">
    <vt:lpwstr>2026-04-07T04:16:12Z</vt:lpwstr>
  </property>
  <property fmtid="{D5CDD505-2E9C-101B-9397-08002B2CF9AE}" pid="4" name="MSIP_Label_b1f34ead-50a3-4950-8a39-fca3a33c48cb_Method">
    <vt:lpwstr>Standard</vt:lpwstr>
  </property>
  <property fmtid="{D5CDD505-2E9C-101B-9397-08002B2CF9AE}" pid="5" name="MSIP_Label_b1f34ead-50a3-4950-8a39-fca3a33c48cb_Name">
    <vt:lpwstr>Confidential</vt:lpwstr>
  </property>
  <property fmtid="{D5CDD505-2E9C-101B-9397-08002B2CF9AE}" pid="6" name="MSIP_Label_b1f34ead-50a3-4950-8a39-fca3a33c48cb_SiteId">
    <vt:lpwstr>0c5638da-d686-4d6a-8df4-e0552c70cb17</vt:lpwstr>
  </property>
  <property fmtid="{D5CDD505-2E9C-101B-9397-08002B2CF9AE}" pid="7" name="MSIP_Label_b1f34ead-50a3-4950-8a39-fca3a33c48cb_ActionId">
    <vt:lpwstr>52cc4205-9156-44f7-9d17-13f343b4fa91</vt:lpwstr>
  </property>
  <property fmtid="{D5CDD505-2E9C-101B-9397-08002B2CF9AE}" pid="8" name="MSIP_Label_b1f34ead-50a3-4950-8a39-fca3a33c48cb_ContentBits">
    <vt:lpwstr>0</vt:lpwstr>
  </property>
  <property fmtid="{D5CDD505-2E9C-101B-9397-08002B2CF9AE}" pid="9" name="MSIP_Label_b1f34ead-50a3-4950-8a39-fca3a33c48cb_Tag">
    <vt:lpwstr>10, 3, 0, 1</vt:lpwstr>
  </property>
</Properties>
</file>